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riveros/Desktop/Money and Credit Research Project/Money Supply and Infl VAR Model/"/>
    </mc:Choice>
  </mc:AlternateContent>
  <xr:revisionPtr revIDLastSave="0" documentId="13_ncr:1_{311892B6-C00F-3C4D-90CA-378C36655B36}" xr6:coauthVersionLast="47" xr6:coauthVersionMax="47" xr10:uidLastSave="{00000000-0000-0000-0000-000000000000}"/>
  <bookViews>
    <workbookView xWindow="0" yWindow="500" windowWidth="28800" windowHeight="15600" xr2:uid="{B8A614BC-3B2A-3D47-BBAF-633D8371E0B5}"/>
  </bookViews>
  <sheets>
    <sheet name="Data Clean Full" sheetId="1" r:id="rId1"/>
    <sheet name="Data Cut at 22" sheetId="7" r:id="rId2"/>
    <sheet name="Corr. Matrix" sheetId="5" r:id="rId3"/>
    <sheet name="Infl. Ex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B63" i="4"/>
  <c r="B64" i="4" s="1"/>
  <c r="C63" i="4"/>
  <c r="C64" i="4"/>
  <c r="C65" i="4"/>
  <c r="C66" i="4"/>
  <c r="C67" i="4"/>
  <c r="C68" i="4"/>
  <c r="A63" i="4"/>
  <c r="A64" i="4" s="1"/>
  <c r="A65" i="4" s="1"/>
  <c r="A66" i="4" s="1"/>
  <c r="A67" i="4" s="1"/>
  <c r="A68" i="4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2" i="4"/>
  <c r="B2" i="4"/>
  <c r="A3" i="4"/>
  <c r="A4" i="4" s="1"/>
  <c r="B65" i="4" l="1"/>
  <c r="A5" i="4"/>
  <c r="B4" i="4"/>
  <c r="B3" i="4"/>
  <c r="B66" i="4" l="1"/>
  <c r="A6" i="4"/>
  <c r="B5" i="4"/>
  <c r="B67" i="4" l="1"/>
  <c r="B68" i="4" s="1"/>
  <c r="A7" i="4"/>
  <c r="B6" i="4"/>
  <c r="A8" i="4" l="1"/>
  <c r="B7" i="4"/>
  <c r="A9" i="4" l="1"/>
  <c r="B8" i="4"/>
  <c r="A10" i="4" l="1"/>
  <c r="B9" i="4"/>
  <c r="A11" i="4" l="1"/>
  <c r="B10" i="4"/>
  <c r="A12" i="4" l="1"/>
  <c r="B11" i="4"/>
  <c r="A13" i="4" l="1"/>
  <c r="B12" i="4"/>
  <c r="A14" i="4" l="1"/>
  <c r="B13" i="4"/>
  <c r="A15" i="4" l="1"/>
  <c r="B14" i="4"/>
  <c r="A16" i="4" l="1"/>
  <c r="B15" i="4"/>
  <c r="A17" i="4" l="1"/>
  <c r="B16" i="4"/>
  <c r="A18" i="4" l="1"/>
  <c r="A19" i="4" s="1"/>
  <c r="B17" i="4"/>
  <c r="B18" i="4" s="1"/>
  <c r="A20" i="4" l="1"/>
  <c r="A21" i="4" s="1"/>
  <c r="B19" i="4"/>
  <c r="B20" i="4" s="1"/>
  <c r="A22" i="4" l="1"/>
  <c r="B21" i="4"/>
  <c r="A23" i="4" l="1"/>
  <c r="B22" i="4"/>
  <c r="A24" i="4" l="1"/>
  <c r="B23" i="4"/>
  <c r="A25" i="4" l="1"/>
  <c r="B24" i="4"/>
  <c r="A26" i="4" l="1"/>
  <c r="B25" i="4"/>
  <c r="A27" i="4" l="1"/>
  <c r="B26" i="4"/>
  <c r="A28" i="4" l="1"/>
  <c r="B27" i="4"/>
  <c r="A29" i="4" l="1"/>
  <c r="B28" i="4"/>
  <c r="A30" i="4" l="1"/>
  <c r="A31" i="4" s="1"/>
  <c r="B29" i="4"/>
  <c r="B30" i="4" s="1"/>
  <c r="A32" i="4" l="1"/>
  <c r="B31" i="4"/>
  <c r="A33" i="4" l="1"/>
  <c r="B32" i="4"/>
  <c r="A34" i="4" l="1"/>
  <c r="A35" i="4" s="1"/>
  <c r="B33" i="4"/>
  <c r="B34" i="4" s="1"/>
  <c r="A36" i="4" l="1"/>
  <c r="A37" i="4" s="1"/>
  <c r="B35" i="4"/>
  <c r="B36" i="4" s="1"/>
  <c r="A38" i="4" l="1"/>
  <c r="B37" i="4"/>
  <c r="A39" i="4" l="1"/>
  <c r="B38" i="4"/>
  <c r="A40" i="4" l="1"/>
  <c r="B39" i="4"/>
  <c r="A41" i="4" l="1"/>
  <c r="B40" i="4"/>
  <c r="A42" i="4" l="1"/>
  <c r="B41" i="4"/>
  <c r="A43" i="4" l="1"/>
  <c r="B42" i="4"/>
  <c r="A44" i="4" l="1"/>
  <c r="B43" i="4"/>
  <c r="A45" i="4" l="1"/>
  <c r="B44" i="4"/>
  <c r="A46" i="4" l="1"/>
  <c r="B45" i="4"/>
  <c r="A47" i="4" l="1"/>
  <c r="B46" i="4"/>
  <c r="A48" i="4" l="1"/>
  <c r="B47" i="4"/>
  <c r="A49" i="4" l="1"/>
  <c r="B48" i="4"/>
  <c r="A50" i="4" l="1"/>
  <c r="A51" i="4" s="1"/>
  <c r="B49" i="4"/>
  <c r="B50" i="4" s="1"/>
  <c r="A52" i="4" l="1"/>
  <c r="A53" i="4" s="1"/>
  <c r="B51" i="4"/>
  <c r="B52" i="4" s="1"/>
  <c r="A54" i="4" l="1"/>
  <c r="B53" i="4"/>
  <c r="A55" i="4" l="1"/>
  <c r="B54" i="4"/>
  <c r="A56" i="4" l="1"/>
  <c r="B55" i="4"/>
  <c r="A57" i="4" l="1"/>
  <c r="B56" i="4"/>
  <c r="A58" i="4" l="1"/>
  <c r="A59" i="4" s="1"/>
  <c r="B57" i="4"/>
  <c r="B58" i="4" s="1"/>
  <c r="A60" i="4" l="1"/>
  <c r="B59" i="4"/>
  <c r="A61" i="4" l="1"/>
  <c r="B60" i="4"/>
  <c r="A62" i="4" l="1"/>
  <c r="B61" i="4"/>
  <c r="B62" i="4" s="1"/>
</calcChain>
</file>

<file path=xl/sharedStrings.xml><?xml version="1.0" encoding="utf-8"?>
<sst xmlns="http://schemas.openxmlformats.org/spreadsheetml/2006/main" count="37" uniqueCount="12">
  <si>
    <t>Date</t>
  </si>
  <si>
    <t>Inflation (YoY)</t>
  </si>
  <si>
    <t>Trade Balance (in Millions of USD)</t>
  </si>
  <si>
    <t>Net Credit to Public Sector</t>
  </si>
  <si>
    <t>Ln(M3) (in Thousands of Bolivianos)</t>
  </si>
  <si>
    <t>ln(Net Int. Reserves)</t>
  </si>
  <si>
    <t>Ln(Sale of Cement (in Metric Tons))</t>
  </si>
  <si>
    <t>variation_12_months</t>
  </si>
  <si>
    <t>Actual (0 = no data)</t>
  </si>
  <si>
    <t>Infl. Exp (linear int. 5 mo. lookback)</t>
  </si>
  <si>
    <t>Infl. Exp. (linear int. 5 mo. lookback)</t>
  </si>
  <si>
    <t>Ln(inf. 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</si>
</sst>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6" fontId="0" fillId="0" borderId="0" xfId="0" applyNumberFormat="1"/>
    <xf numFmtId="0" fontId="2" fillId="0" borderId="0" xfId="0" applyFont="1"/>
    <xf numFmtId="14" fontId="2" fillId="0" borderId="0" xfId="0" applyNumberFormat="1" applyFont="1"/>
    <xf numFmtId="16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4" fillId="0" borderId="0" xfId="0" applyFont="1"/>
    <xf numFmtId="14" fontId="4" fillId="0" borderId="0" xfId="0" applyNumberFormat="1" applyFont="1"/>
    <xf numFmtId="10" fontId="4" fillId="0" borderId="0" xfId="0" applyNumberFormat="1" applyFont="1"/>
    <xf numFmtId="164" fontId="4" fillId="0" borderId="0" xfId="0" applyNumberFormat="1" applyFont="1"/>
    <xf numFmtId="0" fontId="5" fillId="0" borderId="0" xfId="0" applyFont="1"/>
    <xf numFmtId="0" fontId="5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Clean Full'!$G$1</c:f>
              <c:strCache>
                <c:ptCount val="1"/>
                <c:pt idx="0">
                  <c:v>Ln(M3) (in Thousands of Bolivianos)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Clean Full'!$F$2:$F$417</c:f>
              <c:numCache>
                <c:formatCode>General</c:formatCode>
                <c:ptCount val="416"/>
                <c:pt idx="0">
                  <c:v>688091.27811208984</c:v>
                </c:pt>
                <c:pt idx="1">
                  <c:v>-1648687.4877806045</c:v>
                </c:pt>
                <c:pt idx="2">
                  <c:v>-1861520.5366064245</c:v>
                </c:pt>
                <c:pt idx="3">
                  <c:v>-3092549.6995381424</c:v>
                </c:pt>
                <c:pt idx="4">
                  <c:v>-3801233.9963053539</c:v>
                </c:pt>
                <c:pt idx="5">
                  <c:v>-4739770.1017086795</c:v>
                </c:pt>
                <c:pt idx="6">
                  <c:v>-5224216.5695206607</c:v>
                </c:pt>
                <c:pt idx="7">
                  <c:v>-6036423.0854640286</c:v>
                </c:pt>
                <c:pt idx="8">
                  <c:v>-6696649.4550510412</c:v>
                </c:pt>
                <c:pt idx="9">
                  <c:v>-7524650.3316732291</c:v>
                </c:pt>
                <c:pt idx="10">
                  <c:v>-7851591.7890402814</c:v>
                </c:pt>
                <c:pt idx="11">
                  <c:v>-7669077.8647505688</c:v>
                </c:pt>
                <c:pt idx="12">
                  <c:v>-6146738.8980542328</c:v>
                </c:pt>
                <c:pt idx="13">
                  <c:v>-7090939.0444820924</c:v>
                </c:pt>
                <c:pt idx="14">
                  <c:v>-7536965.3369938396</c:v>
                </c:pt>
                <c:pt idx="15">
                  <c:v>-8373863.1548027908</c:v>
                </c:pt>
                <c:pt idx="16">
                  <c:v>-9355528.2934757695</c:v>
                </c:pt>
                <c:pt idx="17">
                  <c:v>-10035894.476221863</c:v>
                </c:pt>
                <c:pt idx="18">
                  <c:v>-9203285.6014469136</c:v>
                </c:pt>
                <c:pt idx="19">
                  <c:v>-9927077.9142378885</c:v>
                </c:pt>
                <c:pt idx="20">
                  <c:v>-9554583.9636361115</c:v>
                </c:pt>
                <c:pt idx="21">
                  <c:v>-9870916.8292107172</c:v>
                </c:pt>
                <c:pt idx="22">
                  <c:v>-10005800.813524056</c:v>
                </c:pt>
                <c:pt idx="23">
                  <c:v>-9953057.9160852227</c:v>
                </c:pt>
                <c:pt idx="24">
                  <c:v>-8061803.4753122861</c:v>
                </c:pt>
                <c:pt idx="25">
                  <c:v>-8564985.6129325368</c:v>
                </c:pt>
                <c:pt idx="26">
                  <c:v>-9421012.1613935251</c:v>
                </c:pt>
                <c:pt idx="27">
                  <c:v>-10573579.826327436</c:v>
                </c:pt>
                <c:pt idx="28">
                  <c:v>-11186029.261762958</c:v>
                </c:pt>
                <c:pt idx="29">
                  <c:v>-11184796.821468251</c:v>
                </c:pt>
                <c:pt idx="30">
                  <c:v>-11849873.762466978</c:v>
                </c:pt>
                <c:pt idx="31">
                  <c:v>-13080949.810422665</c:v>
                </c:pt>
                <c:pt idx="32">
                  <c:v>-13971224.82007793</c:v>
                </c:pt>
                <c:pt idx="33">
                  <c:v>-13948736.554825541</c:v>
                </c:pt>
                <c:pt idx="34">
                  <c:v>-13577531.018219298</c:v>
                </c:pt>
                <c:pt idx="35">
                  <c:v>-13789405.47494192</c:v>
                </c:pt>
                <c:pt idx="36">
                  <c:v>-11931858.23676322</c:v>
                </c:pt>
                <c:pt idx="37">
                  <c:v>-12564234.71705419</c:v>
                </c:pt>
                <c:pt idx="38">
                  <c:v>-13157015.446541928</c:v>
                </c:pt>
                <c:pt idx="39">
                  <c:v>-13994098.295523074</c:v>
                </c:pt>
                <c:pt idx="40">
                  <c:v>-15092949.144283639</c:v>
                </c:pt>
                <c:pt idx="41">
                  <c:v>-16211804.937160678</c:v>
                </c:pt>
                <c:pt idx="42">
                  <c:v>-15645075.490415856</c:v>
                </c:pt>
                <c:pt idx="43">
                  <c:v>-16557844.935554955</c:v>
                </c:pt>
                <c:pt idx="44">
                  <c:v>-16285247.744686084</c:v>
                </c:pt>
                <c:pt idx="45">
                  <c:v>-15842018.450560136</c:v>
                </c:pt>
                <c:pt idx="46">
                  <c:v>-14869605.046034338</c:v>
                </c:pt>
                <c:pt idx="47">
                  <c:v>-14810160.829222972</c:v>
                </c:pt>
                <c:pt idx="48">
                  <c:v>-12037861.640102699</c:v>
                </c:pt>
                <c:pt idx="49">
                  <c:v>-12046325.54996266</c:v>
                </c:pt>
                <c:pt idx="50">
                  <c:v>-11898433.159611983</c:v>
                </c:pt>
                <c:pt idx="51">
                  <c:v>-12534189.589627642</c:v>
                </c:pt>
                <c:pt idx="52">
                  <c:v>-14535737.46891183</c:v>
                </c:pt>
                <c:pt idx="53">
                  <c:v>-14921374.404462183</c:v>
                </c:pt>
                <c:pt idx="54">
                  <c:v>-16051877.890473671</c:v>
                </c:pt>
                <c:pt idx="55">
                  <c:v>-17451955.82385318</c:v>
                </c:pt>
                <c:pt idx="56">
                  <c:v>-18695844.246511422</c:v>
                </c:pt>
                <c:pt idx="57">
                  <c:v>-19622556.781357232</c:v>
                </c:pt>
                <c:pt idx="58">
                  <c:v>-20206230.807064489</c:v>
                </c:pt>
                <c:pt idx="59">
                  <c:v>-20380590.815921824</c:v>
                </c:pt>
                <c:pt idx="60">
                  <c:v>-19033717.018390909</c:v>
                </c:pt>
                <c:pt idx="61">
                  <c:v>-20395683.250634994</c:v>
                </c:pt>
                <c:pt idx="62">
                  <c:v>-21398482.908853341</c:v>
                </c:pt>
                <c:pt idx="63">
                  <c:v>-20515376.437737089</c:v>
                </c:pt>
                <c:pt idx="64">
                  <c:v>-22720668.638767067</c:v>
                </c:pt>
                <c:pt idx="65">
                  <c:v>-24039985.288323496</c:v>
                </c:pt>
                <c:pt idx="66">
                  <c:v>-23153205.909382429</c:v>
                </c:pt>
                <c:pt idx="67">
                  <c:v>-24583659.839785591</c:v>
                </c:pt>
                <c:pt idx="68">
                  <c:v>-25793166.578589763</c:v>
                </c:pt>
                <c:pt idx="69">
                  <c:v>-26182201.187240429</c:v>
                </c:pt>
                <c:pt idx="70">
                  <c:v>-26496707.457077902</c:v>
                </c:pt>
                <c:pt idx="71">
                  <c:v>-25953885.438838132</c:v>
                </c:pt>
                <c:pt idx="72">
                  <c:v>-23173066.22482226</c:v>
                </c:pt>
                <c:pt idx="73">
                  <c:v>-26541033.333452713</c:v>
                </c:pt>
                <c:pt idx="74">
                  <c:v>-27446881.256784026</c:v>
                </c:pt>
                <c:pt idx="75">
                  <c:v>-27543760.440351926</c:v>
                </c:pt>
                <c:pt idx="76">
                  <c:v>-28166397.392738622</c:v>
                </c:pt>
                <c:pt idx="77">
                  <c:v>-29605296.717039801</c:v>
                </c:pt>
                <c:pt idx="78">
                  <c:v>-29131072.705202684</c:v>
                </c:pt>
                <c:pt idx="79">
                  <c:v>-31072632.893457986</c:v>
                </c:pt>
                <c:pt idx="80">
                  <c:v>-32641457.860811513</c:v>
                </c:pt>
                <c:pt idx="81">
                  <c:v>-31624133.681827988</c:v>
                </c:pt>
                <c:pt idx="82">
                  <c:v>-35032581.714718997</c:v>
                </c:pt>
                <c:pt idx="83">
                  <c:v>-34484140.436760709</c:v>
                </c:pt>
                <c:pt idx="84">
                  <c:v>-29315840.06477908</c:v>
                </c:pt>
                <c:pt idx="85">
                  <c:v>-31541942.457583632</c:v>
                </c:pt>
                <c:pt idx="86">
                  <c:v>-33255567.942846306</c:v>
                </c:pt>
                <c:pt idx="87">
                  <c:v>-34246472.31551218</c:v>
                </c:pt>
                <c:pt idx="88">
                  <c:v>-36347891.509988785</c:v>
                </c:pt>
                <c:pt idx="89">
                  <c:v>-36985881.54332412</c:v>
                </c:pt>
                <c:pt idx="90">
                  <c:v>-35653628.517633736</c:v>
                </c:pt>
                <c:pt idx="91">
                  <c:v>-37909190.046343148</c:v>
                </c:pt>
                <c:pt idx="92">
                  <c:v>-41299918.696498387</c:v>
                </c:pt>
                <c:pt idx="93">
                  <c:v>-41345434.098601684</c:v>
                </c:pt>
                <c:pt idx="94">
                  <c:v>-41671917.323780075</c:v>
                </c:pt>
                <c:pt idx="95">
                  <c:v>-41205002.824314818</c:v>
                </c:pt>
                <c:pt idx="96">
                  <c:v>-33813097.812691644</c:v>
                </c:pt>
                <c:pt idx="97">
                  <c:v>-35379873.657794498</c:v>
                </c:pt>
                <c:pt idx="98">
                  <c:v>-35909120.431382149</c:v>
                </c:pt>
                <c:pt idx="99">
                  <c:v>-37354259.685190022</c:v>
                </c:pt>
                <c:pt idx="100">
                  <c:v>-38644746.607878737</c:v>
                </c:pt>
                <c:pt idx="101">
                  <c:v>-39922868.134744726</c:v>
                </c:pt>
                <c:pt idx="102">
                  <c:v>-39064965.928607702</c:v>
                </c:pt>
                <c:pt idx="103">
                  <c:v>-41939025.653691001</c:v>
                </c:pt>
                <c:pt idx="104">
                  <c:v>-44207526.102950044</c:v>
                </c:pt>
                <c:pt idx="105">
                  <c:v>-42349181.198990591</c:v>
                </c:pt>
                <c:pt idx="106">
                  <c:v>-40838065.709731817</c:v>
                </c:pt>
                <c:pt idx="107">
                  <c:v>-40093649.966347881</c:v>
                </c:pt>
                <c:pt idx="108">
                  <c:v>-29328915.759721372</c:v>
                </c:pt>
                <c:pt idx="109">
                  <c:v>-31461852.360015273</c:v>
                </c:pt>
                <c:pt idx="110">
                  <c:v>-31891980.87247932</c:v>
                </c:pt>
                <c:pt idx="111">
                  <c:v>-31100461.763368092</c:v>
                </c:pt>
                <c:pt idx="112">
                  <c:v>-33126363.105549008</c:v>
                </c:pt>
                <c:pt idx="113">
                  <c:v>-31763446.206964374</c:v>
                </c:pt>
                <c:pt idx="114">
                  <c:v>-31746886.380987838</c:v>
                </c:pt>
                <c:pt idx="115">
                  <c:v>-33903953.379198723</c:v>
                </c:pt>
                <c:pt idx="116">
                  <c:v>-34604179.077711254</c:v>
                </c:pt>
                <c:pt idx="117">
                  <c:v>-33442229.593978196</c:v>
                </c:pt>
                <c:pt idx="118">
                  <c:v>-31437801.849881683</c:v>
                </c:pt>
                <c:pt idx="119">
                  <c:v>-29994733.169060737</c:v>
                </c:pt>
                <c:pt idx="120">
                  <c:v>-15862082.772082074</c:v>
                </c:pt>
                <c:pt idx="121">
                  <c:v>-20011825.010876417</c:v>
                </c:pt>
                <c:pt idx="122">
                  <c:v>-20263734.654778786</c:v>
                </c:pt>
                <c:pt idx="123">
                  <c:v>-19957445.178932104</c:v>
                </c:pt>
                <c:pt idx="124">
                  <c:v>-19968056.496929783</c:v>
                </c:pt>
                <c:pt idx="125">
                  <c:v>-18301957.266816635</c:v>
                </c:pt>
                <c:pt idx="126">
                  <c:v>-16747772.520208973</c:v>
                </c:pt>
                <c:pt idx="127">
                  <c:v>-18024699.476287529</c:v>
                </c:pt>
                <c:pt idx="128">
                  <c:v>-16663921.395537145</c:v>
                </c:pt>
                <c:pt idx="129">
                  <c:v>-15085995.156880133</c:v>
                </c:pt>
                <c:pt idx="130">
                  <c:v>-13282205.899796352</c:v>
                </c:pt>
                <c:pt idx="131">
                  <c:v>-11924632.247010611</c:v>
                </c:pt>
                <c:pt idx="132">
                  <c:v>-5321267.3923754692</c:v>
                </c:pt>
                <c:pt idx="133">
                  <c:v>-6411555.7150389068</c:v>
                </c:pt>
                <c:pt idx="134">
                  <c:v>-6040074.0864734612</c:v>
                </c:pt>
                <c:pt idx="135">
                  <c:v>-12531037.347315956</c:v>
                </c:pt>
                <c:pt idx="136">
                  <c:v>-14018335.236645702</c:v>
                </c:pt>
                <c:pt idx="137">
                  <c:v>-14471898.039667662</c:v>
                </c:pt>
                <c:pt idx="138">
                  <c:v>-12802391.873709735</c:v>
                </c:pt>
                <c:pt idx="139">
                  <c:v>-12825424.935390361</c:v>
                </c:pt>
                <c:pt idx="140">
                  <c:v>-12367107.188315645</c:v>
                </c:pt>
                <c:pt idx="141">
                  <c:v>-7751136.5282140896</c:v>
                </c:pt>
                <c:pt idx="142">
                  <c:v>-5656510.6531783268</c:v>
                </c:pt>
                <c:pt idx="143">
                  <c:v>-5968685.9487225227</c:v>
                </c:pt>
                <c:pt idx="144">
                  <c:v>3023461.3762339465</c:v>
                </c:pt>
                <c:pt idx="145">
                  <c:v>736419.94070962816</c:v>
                </c:pt>
                <c:pt idx="146">
                  <c:v>113671.6114281714</c:v>
                </c:pt>
                <c:pt idx="147">
                  <c:v>1842378.575905364</c:v>
                </c:pt>
                <c:pt idx="148">
                  <c:v>-1197339.7025836371</c:v>
                </c:pt>
                <c:pt idx="149">
                  <c:v>914263.06053275242</c:v>
                </c:pt>
                <c:pt idx="150">
                  <c:v>3694556.2179682143</c:v>
                </c:pt>
                <c:pt idx="151">
                  <c:v>3158334.5308640525</c:v>
                </c:pt>
                <c:pt idx="152">
                  <c:v>5154162.5273957849</c:v>
                </c:pt>
                <c:pt idx="153">
                  <c:v>6914151.0253811739</c:v>
                </c:pt>
                <c:pt idx="154">
                  <c:v>8795146.8631067276</c:v>
                </c:pt>
                <c:pt idx="155">
                  <c:v>6106142.9254825264</c:v>
                </c:pt>
                <c:pt idx="156">
                  <c:v>16084795.381463334</c:v>
                </c:pt>
                <c:pt idx="157">
                  <c:v>13642538.24884145</c:v>
                </c:pt>
                <c:pt idx="158">
                  <c:v>14019484.893807355</c:v>
                </c:pt>
                <c:pt idx="159">
                  <c:v>16522726.985160485</c:v>
                </c:pt>
                <c:pt idx="160">
                  <c:v>14288030.154792566</c:v>
                </c:pt>
                <c:pt idx="161">
                  <c:v>15635836.007237077</c:v>
                </c:pt>
                <c:pt idx="162">
                  <c:v>17164347.025118038</c:v>
                </c:pt>
                <c:pt idx="163">
                  <c:v>17266163.166491158</c:v>
                </c:pt>
                <c:pt idx="164">
                  <c:v>18138417.307107762</c:v>
                </c:pt>
                <c:pt idx="165">
                  <c:v>20192131.524391368</c:v>
                </c:pt>
                <c:pt idx="166">
                  <c:v>22392903.380207546</c:v>
                </c:pt>
                <c:pt idx="167">
                  <c:v>22624096.693566743</c:v>
                </c:pt>
                <c:pt idx="168">
                  <c:v>27321855.590497546</c:v>
                </c:pt>
                <c:pt idx="169">
                  <c:v>25248256.323882483</c:v>
                </c:pt>
                <c:pt idx="170">
                  <c:v>26622874.123236682</c:v>
                </c:pt>
                <c:pt idx="171">
                  <c:v>32394505.741277542</c:v>
                </c:pt>
                <c:pt idx="172">
                  <c:v>34761213.581713729</c:v>
                </c:pt>
                <c:pt idx="173">
                  <c:v>37598564.954820015</c:v>
                </c:pt>
                <c:pt idx="174">
                  <c:v>38565855.909011029</c:v>
                </c:pt>
                <c:pt idx="175">
                  <c:v>38289491.40196868</c:v>
                </c:pt>
                <c:pt idx="176">
                  <c:v>39697015.705200642</c:v>
                </c:pt>
                <c:pt idx="177">
                  <c:v>40776014.807061985</c:v>
                </c:pt>
                <c:pt idx="178">
                  <c:v>42371454.591670141</c:v>
                </c:pt>
                <c:pt idx="179">
                  <c:v>42609137.214896664</c:v>
                </c:pt>
                <c:pt idx="180">
                  <c:v>52638865.967619777</c:v>
                </c:pt>
                <c:pt idx="181">
                  <c:v>53526233.4938647</c:v>
                </c:pt>
                <c:pt idx="182">
                  <c:v>51866818.583824858</c:v>
                </c:pt>
                <c:pt idx="183">
                  <c:v>52730535.946109086</c:v>
                </c:pt>
                <c:pt idx="184">
                  <c:v>51652694.92324093</c:v>
                </c:pt>
                <c:pt idx="185">
                  <c:v>51202807.325694919</c:v>
                </c:pt>
                <c:pt idx="186">
                  <c:v>51687697.987344481</c:v>
                </c:pt>
                <c:pt idx="187">
                  <c:v>51909235.540400892</c:v>
                </c:pt>
                <c:pt idx="188">
                  <c:v>52706555.366309687</c:v>
                </c:pt>
                <c:pt idx="189">
                  <c:v>56172394.120169118</c:v>
                </c:pt>
                <c:pt idx="190">
                  <c:v>55949262.389871165</c:v>
                </c:pt>
                <c:pt idx="191">
                  <c:v>56505510.251278549</c:v>
                </c:pt>
                <c:pt idx="192">
                  <c:v>63530289.004490748</c:v>
                </c:pt>
                <c:pt idx="193">
                  <c:v>62878839.356154241</c:v>
                </c:pt>
                <c:pt idx="194">
                  <c:v>63394843.571978465</c:v>
                </c:pt>
                <c:pt idx="195">
                  <c:v>61761974.189947665</c:v>
                </c:pt>
                <c:pt idx="196">
                  <c:v>59289306.665047243</c:v>
                </c:pt>
                <c:pt idx="197">
                  <c:v>56433981.06288524</c:v>
                </c:pt>
                <c:pt idx="198">
                  <c:v>59033643.514745906</c:v>
                </c:pt>
                <c:pt idx="199">
                  <c:v>59616157.265636086</c:v>
                </c:pt>
                <c:pt idx="200">
                  <c:v>61872114.500377417</c:v>
                </c:pt>
                <c:pt idx="201">
                  <c:v>61040014.331245095</c:v>
                </c:pt>
                <c:pt idx="202">
                  <c:v>62155069.881369852</c:v>
                </c:pt>
                <c:pt idx="203">
                  <c:v>64342829.819117248</c:v>
                </c:pt>
                <c:pt idx="204">
                  <c:v>72812961.848830014</c:v>
                </c:pt>
                <c:pt idx="205">
                  <c:v>70877975.834626585</c:v>
                </c:pt>
                <c:pt idx="206">
                  <c:v>72396182.601584256</c:v>
                </c:pt>
                <c:pt idx="207">
                  <c:v>74496974.106863096</c:v>
                </c:pt>
                <c:pt idx="208">
                  <c:v>72478671.923805133</c:v>
                </c:pt>
                <c:pt idx="209">
                  <c:v>73322820.792505577</c:v>
                </c:pt>
                <c:pt idx="210">
                  <c:v>76547859.727395698</c:v>
                </c:pt>
                <c:pt idx="211">
                  <c:v>78588671.488939285</c:v>
                </c:pt>
                <c:pt idx="212">
                  <c:v>81300277.370993719</c:v>
                </c:pt>
                <c:pt idx="213">
                  <c:v>84993017.568898827</c:v>
                </c:pt>
                <c:pt idx="214">
                  <c:v>88349976.237574607</c:v>
                </c:pt>
                <c:pt idx="215">
                  <c:v>90505159.917576402</c:v>
                </c:pt>
                <c:pt idx="216">
                  <c:v>101095645.13541642</c:v>
                </c:pt>
                <c:pt idx="217">
                  <c:v>101240782.41738047</c:v>
                </c:pt>
                <c:pt idx="218">
                  <c:v>102692358.88295263</c:v>
                </c:pt>
                <c:pt idx="219">
                  <c:v>104771173.7920202</c:v>
                </c:pt>
                <c:pt idx="220">
                  <c:v>103866119.29963997</c:v>
                </c:pt>
                <c:pt idx="221">
                  <c:v>104696706.57854863</c:v>
                </c:pt>
                <c:pt idx="222">
                  <c:v>108428984.64326592</c:v>
                </c:pt>
                <c:pt idx="223">
                  <c:v>110928758.59527297</c:v>
                </c:pt>
                <c:pt idx="224">
                  <c:v>112627166.96527046</c:v>
                </c:pt>
                <c:pt idx="225">
                  <c:v>116965094.65022884</c:v>
                </c:pt>
                <c:pt idx="226">
                  <c:v>119695807.76673597</c:v>
                </c:pt>
                <c:pt idx="227">
                  <c:v>121799306.6103871</c:v>
                </c:pt>
                <c:pt idx="228">
                  <c:v>128919775.1737639</c:v>
                </c:pt>
                <c:pt idx="229">
                  <c:v>129334052.11504731</c:v>
                </c:pt>
                <c:pt idx="230">
                  <c:v>132763756.04189713</c:v>
                </c:pt>
                <c:pt idx="231">
                  <c:v>131691440.04661688</c:v>
                </c:pt>
                <c:pt idx="232">
                  <c:v>129256592.52181804</c:v>
                </c:pt>
                <c:pt idx="233">
                  <c:v>131398756.49929293</c:v>
                </c:pt>
                <c:pt idx="234">
                  <c:v>133039380.12574053</c:v>
                </c:pt>
                <c:pt idx="235">
                  <c:v>137208878.43973732</c:v>
                </c:pt>
                <c:pt idx="236">
                  <c:v>141100814.17668465</c:v>
                </c:pt>
              </c:numCache>
            </c:numRef>
          </c:xVal>
          <c:yVal>
            <c:numRef>
              <c:f>'Data Clean Full'!$G$2:$G$417</c:f>
              <c:numCache>
                <c:formatCode>General</c:formatCode>
                <c:ptCount val="416"/>
                <c:pt idx="0">
                  <c:v>16.138436638978042</c:v>
                </c:pt>
                <c:pt idx="1">
                  <c:v>16.091224451387344</c:v>
                </c:pt>
                <c:pt idx="2">
                  <c:v>16.094818929250277</c:v>
                </c:pt>
                <c:pt idx="3">
                  <c:v>16.099874111220423</c:v>
                </c:pt>
                <c:pt idx="4">
                  <c:v>16.141356024522398</c:v>
                </c:pt>
                <c:pt idx="5">
                  <c:v>16.198625013316253</c:v>
                </c:pt>
                <c:pt idx="6">
                  <c:v>16.263048890012342</c:v>
                </c:pt>
                <c:pt idx="7">
                  <c:v>16.306420679531353</c:v>
                </c:pt>
                <c:pt idx="8">
                  <c:v>16.329862812270047</c:v>
                </c:pt>
                <c:pt idx="9">
                  <c:v>16.360232363611285</c:v>
                </c:pt>
                <c:pt idx="10">
                  <c:v>16.375506675608072</c:v>
                </c:pt>
                <c:pt idx="11">
                  <c:v>16.44504406871717</c:v>
                </c:pt>
                <c:pt idx="12">
                  <c:v>16.574468335029845</c:v>
                </c:pt>
                <c:pt idx="13">
                  <c:v>16.55546424524595</c:v>
                </c:pt>
                <c:pt idx="14">
                  <c:v>16.575261089365711</c:v>
                </c:pt>
                <c:pt idx="15">
                  <c:v>16.604322839458639</c:v>
                </c:pt>
                <c:pt idx="16">
                  <c:v>16.619010501892042</c:v>
                </c:pt>
                <c:pt idx="17">
                  <c:v>16.667710944264524</c:v>
                </c:pt>
                <c:pt idx="18">
                  <c:v>16.720517288649035</c:v>
                </c:pt>
                <c:pt idx="19">
                  <c:v>16.773235074999324</c:v>
                </c:pt>
                <c:pt idx="20">
                  <c:v>16.865680410131688</c:v>
                </c:pt>
                <c:pt idx="21">
                  <c:v>16.912336845681175</c:v>
                </c:pt>
                <c:pt idx="22">
                  <c:v>16.949455021171566</c:v>
                </c:pt>
                <c:pt idx="23">
                  <c:v>17.000980833707878</c:v>
                </c:pt>
                <c:pt idx="24">
                  <c:v>17.124741050297505</c:v>
                </c:pt>
                <c:pt idx="25">
                  <c:v>17.132803470034784</c:v>
                </c:pt>
                <c:pt idx="26">
                  <c:v>17.181063218761349</c:v>
                </c:pt>
                <c:pt idx="27">
                  <c:v>17.2047155641567</c:v>
                </c:pt>
                <c:pt idx="28">
                  <c:v>17.264358714731614</c:v>
                </c:pt>
                <c:pt idx="29">
                  <c:v>17.32013230621202</c:v>
                </c:pt>
                <c:pt idx="30">
                  <c:v>17.358546016286905</c:v>
                </c:pt>
                <c:pt idx="31">
                  <c:v>17.407654316658075</c:v>
                </c:pt>
                <c:pt idx="32">
                  <c:v>17.434471355939149</c:v>
                </c:pt>
                <c:pt idx="33">
                  <c:v>17.454009432994031</c:v>
                </c:pt>
                <c:pt idx="34">
                  <c:v>17.417247101909378</c:v>
                </c:pt>
                <c:pt idx="35">
                  <c:v>17.397411742439271</c:v>
                </c:pt>
                <c:pt idx="36">
                  <c:v>17.446523511137958</c:v>
                </c:pt>
                <c:pt idx="37">
                  <c:v>17.415274258061601</c:v>
                </c:pt>
                <c:pt idx="38">
                  <c:v>17.404419495275121</c:v>
                </c:pt>
                <c:pt idx="39">
                  <c:v>17.383199287483063</c:v>
                </c:pt>
                <c:pt idx="40">
                  <c:v>17.377010361816158</c:v>
                </c:pt>
                <c:pt idx="41">
                  <c:v>17.369328587197074</c:v>
                </c:pt>
                <c:pt idx="42">
                  <c:v>17.418670408047607</c:v>
                </c:pt>
                <c:pt idx="43">
                  <c:v>17.420403687299789</c:v>
                </c:pt>
                <c:pt idx="44">
                  <c:v>17.432291423623809</c:v>
                </c:pt>
                <c:pt idx="45">
                  <c:v>17.481502528964381</c:v>
                </c:pt>
                <c:pt idx="46">
                  <c:v>17.520443668034847</c:v>
                </c:pt>
                <c:pt idx="47">
                  <c:v>17.53701873287271</c:v>
                </c:pt>
                <c:pt idx="48">
                  <c:v>17.617959107939413</c:v>
                </c:pt>
                <c:pt idx="49">
                  <c:v>17.624105290084518</c:v>
                </c:pt>
                <c:pt idx="50">
                  <c:v>17.626850171867162</c:v>
                </c:pt>
                <c:pt idx="51">
                  <c:v>17.622553031996983</c:v>
                </c:pt>
                <c:pt idx="52">
                  <c:v>17.613030218911387</c:v>
                </c:pt>
                <c:pt idx="53">
                  <c:v>17.642541575684238</c:v>
                </c:pt>
                <c:pt idx="54">
                  <c:v>17.641091692563876</c:v>
                </c:pt>
                <c:pt idx="55">
                  <c:v>17.648490066246296</c:v>
                </c:pt>
                <c:pt idx="56">
                  <c:v>17.658402335465944</c:v>
                </c:pt>
                <c:pt idx="57">
                  <c:v>17.678171008357619</c:v>
                </c:pt>
                <c:pt idx="58">
                  <c:v>17.699230419500324</c:v>
                </c:pt>
                <c:pt idx="59">
                  <c:v>17.74380085619843</c:v>
                </c:pt>
                <c:pt idx="60">
                  <c:v>17.866502634431757</c:v>
                </c:pt>
                <c:pt idx="61">
                  <c:v>17.844381348782147</c:v>
                </c:pt>
                <c:pt idx="62">
                  <c:v>17.854048864974434</c:v>
                </c:pt>
                <c:pt idx="63">
                  <c:v>17.863861901594198</c:v>
                </c:pt>
                <c:pt idx="64">
                  <c:v>17.852882969415344</c:v>
                </c:pt>
                <c:pt idx="65">
                  <c:v>17.864620147047404</c:v>
                </c:pt>
                <c:pt idx="66">
                  <c:v>17.908715389505147</c:v>
                </c:pt>
                <c:pt idx="67">
                  <c:v>17.919909914359319</c:v>
                </c:pt>
                <c:pt idx="68">
                  <c:v>17.958172169036363</c:v>
                </c:pt>
                <c:pt idx="69">
                  <c:v>17.987068174182525</c:v>
                </c:pt>
                <c:pt idx="70">
                  <c:v>18.004959442615348</c:v>
                </c:pt>
                <c:pt idx="71">
                  <c:v>18.040167391945051</c:v>
                </c:pt>
                <c:pt idx="72">
                  <c:v>18.109877617506232</c:v>
                </c:pt>
                <c:pt idx="73">
                  <c:v>18.102675335574002</c:v>
                </c:pt>
                <c:pt idx="74">
                  <c:v>18.114999066062985</c:v>
                </c:pt>
                <c:pt idx="75">
                  <c:v>18.139969764186645</c:v>
                </c:pt>
                <c:pt idx="76">
                  <c:v>18.145116994529385</c:v>
                </c:pt>
                <c:pt idx="77">
                  <c:v>18.165940178877797</c:v>
                </c:pt>
                <c:pt idx="78">
                  <c:v>18.196778506181968</c:v>
                </c:pt>
                <c:pt idx="79">
                  <c:v>18.200246715911298</c:v>
                </c:pt>
                <c:pt idx="80">
                  <c:v>18.220785577480541</c:v>
                </c:pt>
                <c:pt idx="81">
                  <c:v>18.237915083522584</c:v>
                </c:pt>
                <c:pt idx="82">
                  <c:v>18.254234684031623</c:v>
                </c:pt>
                <c:pt idx="83">
                  <c:v>18.285050389744448</c:v>
                </c:pt>
                <c:pt idx="84">
                  <c:v>18.368426412632903</c:v>
                </c:pt>
                <c:pt idx="85">
                  <c:v>18.345411054599001</c:v>
                </c:pt>
                <c:pt idx="86">
                  <c:v>18.348958665645242</c:v>
                </c:pt>
                <c:pt idx="87">
                  <c:v>18.356037118102872</c:v>
                </c:pt>
                <c:pt idx="88">
                  <c:v>18.357113564566856</c:v>
                </c:pt>
                <c:pt idx="89">
                  <c:v>18.370787963574394</c:v>
                </c:pt>
                <c:pt idx="90">
                  <c:v>18.402273903969196</c:v>
                </c:pt>
                <c:pt idx="91">
                  <c:v>18.408243471691627</c:v>
                </c:pt>
                <c:pt idx="92">
                  <c:v>18.424409106197523</c:v>
                </c:pt>
                <c:pt idx="93">
                  <c:v>18.438068880868588</c:v>
                </c:pt>
                <c:pt idx="94">
                  <c:v>18.460985327354965</c:v>
                </c:pt>
                <c:pt idx="95">
                  <c:v>18.469571124800414</c:v>
                </c:pt>
                <c:pt idx="96">
                  <c:v>18.558935905853165</c:v>
                </c:pt>
                <c:pt idx="97">
                  <c:v>18.537109863537264</c:v>
                </c:pt>
                <c:pt idx="98">
                  <c:v>18.532109865675569</c:v>
                </c:pt>
                <c:pt idx="99">
                  <c:v>18.534985070473713</c:v>
                </c:pt>
                <c:pt idx="100">
                  <c:v>18.54250216837054</c:v>
                </c:pt>
                <c:pt idx="101">
                  <c:v>18.544441186982421</c:v>
                </c:pt>
                <c:pt idx="102">
                  <c:v>18.564387806286405</c:v>
                </c:pt>
                <c:pt idx="103">
                  <c:v>18.562334552931166</c:v>
                </c:pt>
                <c:pt idx="104">
                  <c:v>18.575433223717397</c:v>
                </c:pt>
                <c:pt idx="105">
                  <c:v>18.606388617145566</c:v>
                </c:pt>
                <c:pt idx="106">
                  <c:v>18.627430255359076</c:v>
                </c:pt>
                <c:pt idx="107">
                  <c:v>18.650664440219256</c:v>
                </c:pt>
                <c:pt idx="108">
                  <c:v>18.732438105454445</c:v>
                </c:pt>
                <c:pt idx="109">
                  <c:v>18.70892087298148</c:v>
                </c:pt>
                <c:pt idx="110">
                  <c:v>18.70288521869033</c:v>
                </c:pt>
                <c:pt idx="111">
                  <c:v>18.694794454281819</c:v>
                </c:pt>
                <c:pt idx="112">
                  <c:v>18.69544710049497</c:v>
                </c:pt>
                <c:pt idx="113">
                  <c:v>18.720085296106475</c:v>
                </c:pt>
                <c:pt idx="114">
                  <c:v>18.746661452696777</c:v>
                </c:pt>
                <c:pt idx="115">
                  <c:v>18.740625073338926</c:v>
                </c:pt>
                <c:pt idx="116">
                  <c:v>18.755942610523693</c:v>
                </c:pt>
                <c:pt idx="117">
                  <c:v>18.773591949054094</c:v>
                </c:pt>
                <c:pt idx="118">
                  <c:v>18.795534104817346</c:v>
                </c:pt>
                <c:pt idx="119">
                  <c:v>18.809561064547164</c:v>
                </c:pt>
                <c:pt idx="120">
                  <c:v>18.898920072350109</c:v>
                </c:pt>
                <c:pt idx="121">
                  <c:v>18.859768985001342</c:v>
                </c:pt>
                <c:pt idx="122">
                  <c:v>18.857208979779045</c:v>
                </c:pt>
                <c:pt idx="123">
                  <c:v>18.85583796889367</c:v>
                </c:pt>
                <c:pt idx="124">
                  <c:v>18.865216814224897</c:v>
                </c:pt>
                <c:pt idx="125">
                  <c:v>18.873968837173972</c:v>
                </c:pt>
                <c:pt idx="126">
                  <c:v>18.873316884615022</c:v>
                </c:pt>
                <c:pt idx="127">
                  <c:v>18.873044625783866</c:v>
                </c:pt>
                <c:pt idx="128">
                  <c:v>18.880887621080436</c:v>
                </c:pt>
                <c:pt idx="129">
                  <c:v>18.888944402558327</c:v>
                </c:pt>
                <c:pt idx="130">
                  <c:v>18.897440699241049</c:v>
                </c:pt>
                <c:pt idx="131">
                  <c:v>18.901543943697668</c:v>
                </c:pt>
                <c:pt idx="132">
                  <c:v>18.935349235172186</c:v>
                </c:pt>
                <c:pt idx="133">
                  <c:v>18.918824902724701</c:v>
                </c:pt>
                <c:pt idx="134">
                  <c:v>18.920799508156076</c:v>
                </c:pt>
                <c:pt idx="135">
                  <c:v>18.918728032865076</c:v>
                </c:pt>
                <c:pt idx="136">
                  <c:v>18.911083438149841</c:v>
                </c:pt>
                <c:pt idx="137">
                  <c:v>18.919753817543928</c:v>
                </c:pt>
                <c:pt idx="138">
                  <c:v>18.942232806445126</c:v>
                </c:pt>
                <c:pt idx="139">
                  <c:v>18.946388369374848</c:v>
                </c:pt>
                <c:pt idx="140">
                  <c:v>18.957082684915743</c:v>
                </c:pt>
                <c:pt idx="141">
                  <c:v>18.981169798158582</c:v>
                </c:pt>
                <c:pt idx="142">
                  <c:v>18.995733756302695</c:v>
                </c:pt>
                <c:pt idx="143">
                  <c:v>19.004733089959682</c:v>
                </c:pt>
                <c:pt idx="144">
                  <c:v>19.047246806064376</c:v>
                </c:pt>
                <c:pt idx="145">
                  <c:v>19.028556032329544</c:v>
                </c:pt>
                <c:pt idx="146">
                  <c:v>19.024246602695811</c:v>
                </c:pt>
                <c:pt idx="147">
                  <c:v>19.031857847933704</c:v>
                </c:pt>
                <c:pt idx="148">
                  <c:v>19.027518402697016</c:v>
                </c:pt>
                <c:pt idx="149">
                  <c:v>19.04492065808191</c:v>
                </c:pt>
                <c:pt idx="150">
                  <c:v>19.059902239983856</c:v>
                </c:pt>
                <c:pt idx="151">
                  <c:v>19.05500761018104</c:v>
                </c:pt>
                <c:pt idx="152">
                  <c:v>19.069492454989067</c:v>
                </c:pt>
                <c:pt idx="153">
                  <c:v>19.063649969230529</c:v>
                </c:pt>
                <c:pt idx="154">
                  <c:v>19.072751456212391</c:v>
                </c:pt>
                <c:pt idx="155">
                  <c:v>19.068321294617345</c:v>
                </c:pt>
                <c:pt idx="156">
                  <c:v>19.113350084507609</c:v>
                </c:pt>
                <c:pt idx="157">
                  <c:v>19.086971771934955</c:v>
                </c:pt>
                <c:pt idx="158">
                  <c:v>19.083462219298294</c:v>
                </c:pt>
                <c:pt idx="159">
                  <c:v>19.085167024519329</c:v>
                </c:pt>
                <c:pt idx="160">
                  <c:v>19.075512515138719</c:v>
                </c:pt>
                <c:pt idx="161">
                  <c:v>19.089667097910144</c:v>
                </c:pt>
                <c:pt idx="162">
                  <c:v>19.096427457187218</c:v>
                </c:pt>
                <c:pt idx="163">
                  <c:v>19.093289644236638</c:v>
                </c:pt>
                <c:pt idx="164">
                  <c:v>19.096773647760273</c:v>
                </c:pt>
                <c:pt idx="165">
                  <c:v>19.098577950242372</c:v>
                </c:pt>
                <c:pt idx="166">
                  <c:v>19.091417333630044</c:v>
                </c:pt>
                <c:pt idx="167">
                  <c:v>19.068418450583643</c:v>
                </c:pt>
                <c:pt idx="168">
                  <c:v>19.097406141121738</c:v>
                </c:pt>
                <c:pt idx="169">
                  <c:v>19.071180587419505</c:v>
                </c:pt>
                <c:pt idx="170">
                  <c:v>19.072255001911124</c:v>
                </c:pt>
                <c:pt idx="171">
                  <c:v>19.096652514209389</c:v>
                </c:pt>
                <c:pt idx="172">
                  <c:v>19.128513794300765</c:v>
                </c:pt>
                <c:pt idx="173">
                  <c:v>19.148321562138182</c:v>
                </c:pt>
                <c:pt idx="174">
                  <c:v>19.151228375804717</c:v>
                </c:pt>
                <c:pt idx="175">
                  <c:v>19.148197205981589</c:v>
                </c:pt>
                <c:pt idx="176">
                  <c:v>19.157372299627117</c:v>
                </c:pt>
                <c:pt idx="177">
                  <c:v>19.156194346090501</c:v>
                </c:pt>
                <c:pt idx="178">
                  <c:v>19.151540404801167</c:v>
                </c:pt>
                <c:pt idx="179">
                  <c:v>19.154959971224073</c:v>
                </c:pt>
                <c:pt idx="180">
                  <c:v>19.20212879149609</c:v>
                </c:pt>
                <c:pt idx="181">
                  <c:v>19.187629733258692</c:v>
                </c:pt>
                <c:pt idx="182">
                  <c:v>19.177858201154322</c:v>
                </c:pt>
                <c:pt idx="183">
                  <c:v>19.172431513502747</c:v>
                </c:pt>
                <c:pt idx="184">
                  <c:v>19.176277825438909</c:v>
                </c:pt>
                <c:pt idx="185">
                  <c:v>19.177997037981708</c:v>
                </c:pt>
                <c:pt idx="186">
                  <c:v>19.182754876672746</c:v>
                </c:pt>
                <c:pt idx="187">
                  <c:v>19.186479235754799</c:v>
                </c:pt>
                <c:pt idx="188">
                  <c:v>19.19916840922361</c:v>
                </c:pt>
                <c:pt idx="189">
                  <c:v>19.213823005418007</c:v>
                </c:pt>
                <c:pt idx="190">
                  <c:v>19.213764284591605</c:v>
                </c:pt>
                <c:pt idx="191">
                  <c:v>19.223527737075095</c:v>
                </c:pt>
                <c:pt idx="192">
                  <c:v>19.257918051986866</c:v>
                </c:pt>
                <c:pt idx="193">
                  <c:v>19.245032057306823</c:v>
                </c:pt>
                <c:pt idx="194">
                  <c:v>19.244040750068155</c:v>
                </c:pt>
                <c:pt idx="195">
                  <c:v>19.245309200621854</c:v>
                </c:pt>
                <c:pt idx="196">
                  <c:v>19.241314996366562</c:v>
                </c:pt>
                <c:pt idx="197">
                  <c:v>19.239040833482676</c:v>
                </c:pt>
                <c:pt idx="198">
                  <c:v>19.249449148225935</c:v>
                </c:pt>
                <c:pt idx="199">
                  <c:v>19.249238197496954</c:v>
                </c:pt>
                <c:pt idx="200">
                  <c:v>19.256416495349921</c:v>
                </c:pt>
                <c:pt idx="201">
                  <c:v>19.262076090679532</c:v>
                </c:pt>
                <c:pt idx="202">
                  <c:v>19.264738318093809</c:v>
                </c:pt>
                <c:pt idx="203">
                  <c:v>19.274026919163461</c:v>
                </c:pt>
                <c:pt idx="204">
                  <c:v>19.309850618945397</c:v>
                </c:pt>
                <c:pt idx="205">
                  <c:v>19.288711313448012</c:v>
                </c:pt>
                <c:pt idx="206">
                  <c:v>19.282897954177194</c:v>
                </c:pt>
                <c:pt idx="207">
                  <c:v>19.278874724357753</c:v>
                </c:pt>
                <c:pt idx="208">
                  <c:v>19.27797161615776</c:v>
                </c:pt>
                <c:pt idx="209">
                  <c:v>19.277488863741226</c:v>
                </c:pt>
                <c:pt idx="210">
                  <c:v>19.282566903225533</c:v>
                </c:pt>
                <c:pt idx="211">
                  <c:v>19.288935262697606</c:v>
                </c:pt>
                <c:pt idx="212">
                  <c:v>19.294131046506724</c:v>
                </c:pt>
                <c:pt idx="213">
                  <c:v>19.30092971432628</c:v>
                </c:pt>
                <c:pt idx="214">
                  <c:v>19.312266509465871</c:v>
                </c:pt>
                <c:pt idx="215">
                  <c:v>19.320598500189814</c:v>
                </c:pt>
                <c:pt idx="216">
                  <c:v>19.365319511194478</c:v>
                </c:pt>
                <c:pt idx="217">
                  <c:v>19.358950197142168</c:v>
                </c:pt>
                <c:pt idx="218">
                  <c:v>19.359584248612602</c:v>
                </c:pt>
                <c:pt idx="219">
                  <c:v>19.364871186582857</c:v>
                </c:pt>
                <c:pt idx="220">
                  <c:v>19.367830728279749</c:v>
                </c:pt>
                <c:pt idx="221">
                  <c:v>19.371896787191378</c:v>
                </c:pt>
                <c:pt idx="222">
                  <c:v>19.385317095636672</c:v>
                </c:pt>
                <c:pt idx="223">
                  <c:v>19.392563977100309</c:v>
                </c:pt>
                <c:pt idx="224">
                  <c:v>19.398700734894391</c:v>
                </c:pt>
                <c:pt idx="225">
                  <c:v>19.413928666690349</c:v>
                </c:pt>
                <c:pt idx="226">
                  <c:v>19.425486759726603</c:v>
                </c:pt>
                <c:pt idx="227">
                  <c:v>19.432182057243853</c:v>
                </c:pt>
                <c:pt idx="228">
                  <c:v>19.465333562679035</c:v>
                </c:pt>
                <c:pt idx="229">
                  <c:v>19.463663744769622</c:v>
                </c:pt>
                <c:pt idx="230">
                  <c:v>19.475699398871384</c:v>
                </c:pt>
                <c:pt idx="231">
                  <c:v>19.476024815801036</c:v>
                </c:pt>
                <c:pt idx="232">
                  <c:v>19.469587781592082</c:v>
                </c:pt>
                <c:pt idx="233">
                  <c:v>19.475788385019534</c:v>
                </c:pt>
                <c:pt idx="234">
                  <c:v>19.481213520015253</c:v>
                </c:pt>
                <c:pt idx="235">
                  <c:v>19.485875104224132</c:v>
                </c:pt>
                <c:pt idx="236">
                  <c:v>19.495305226188087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02-444D-ADAD-CB57471DA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508447"/>
        <c:axId val="1654116159"/>
      </c:scatterChart>
      <c:valAx>
        <c:axId val="165450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Credit to Public Sector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116159"/>
        <c:crosses val="autoZero"/>
        <c:crossBetween val="midCat"/>
      </c:valAx>
      <c:valAx>
        <c:axId val="1654116159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50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Infl. Exp and Interpolation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'Infl. Exp'!$B$1</c:f>
              <c:strCache>
                <c:ptCount val="1"/>
                <c:pt idx="0">
                  <c:v>Infl. Exp (linear int. 5 mo. lookback)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'Infl. Exp'!$A$2:$A$68</c:f>
              <c:numCache>
                <c:formatCode>m/d/yy</c:formatCode>
                <c:ptCount val="67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</c:numCache>
            </c:numRef>
          </c:cat>
          <c:val>
            <c:numRef>
              <c:f>'Infl. Exp'!$B$2:$B$68</c:f>
              <c:numCache>
                <c:formatCode>General</c:formatCode>
                <c:ptCount val="67"/>
                <c:pt idx="0">
                  <c:v>5.0999999999999996</c:v>
                </c:pt>
                <c:pt idx="1">
                  <c:v>5.15</c:v>
                </c:pt>
                <c:pt idx="2">
                  <c:v>5</c:v>
                </c:pt>
                <c:pt idx="3">
                  <c:v>4.6500000000000004</c:v>
                </c:pt>
                <c:pt idx="4">
                  <c:v>4</c:v>
                </c:pt>
                <c:pt idx="5">
                  <c:v>4.25</c:v>
                </c:pt>
                <c:pt idx="6">
                  <c:v>4.55</c:v>
                </c:pt>
                <c:pt idx="7">
                  <c:v>4.5</c:v>
                </c:pt>
                <c:pt idx="8">
                  <c:v>4.6399999999999997</c:v>
                </c:pt>
                <c:pt idx="9">
                  <c:v>4.53</c:v>
                </c:pt>
                <c:pt idx="10">
                  <c:v>4.5</c:v>
                </c:pt>
                <c:pt idx="11">
                  <c:v>4.4400000000000004</c:v>
                </c:pt>
                <c:pt idx="12">
                  <c:v>4.7</c:v>
                </c:pt>
                <c:pt idx="13">
                  <c:v>4.8499999999999996</c:v>
                </c:pt>
                <c:pt idx="14">
                  <c:v>5.65</c:v>
                </c:pt>
                <c:pt idx="15">
                  <c:v>6.3</c:v>
                </c:pt>
                <c:pt idx="16">
                  <c:v>5.7</c:v>
                </c:pt>
                <c:pt idx="17">
                  <c:v>6</c:v>
                </c:pt>
                <c:pt idx="18">
                  <c:v>6.5</c:v>
                </c:pt>
                <c:pt idx="19">
                  <c:v>6.35</c:v>
                </c:pt>
                <c:pt idx="20">
                  <c:v>11</c:v>
                </c:pt>
                <c:pt idx="21">
                  <c:v>9</c:v>
                </c:pt>
                <c:pt idx="22">
                  <c:v>10.55</c:v>
                </c:pt>
                <c:pt idx="23">
                  <c:v>12</c:v>
                </c:pt>
                <c:pt idx="24">
                  <c:v>14</c:v>
                </c:pt>
                <c:pt idx="25">
                  <c:v>14.010772025626693</c:v>
                </c:pt>
                <c:pt idx="26">
                  <c:v>15.98080843000821</c:v>
                </c:pt>
                <c:pt idx="27">
                  <c:v>13.9</c:v>
                </c:pt>
                <c:pt idx="28">
                  <c:v>15.728582679263695</c:v>
                </c:pt>
                <c:pt idx="29">
                  <c:v>15.739595658638336</c:v>
                </c:pt>
                <c:pt idx="30">
                  <c:v>18</c:v>
                </c:pt>
                <c:pt idx="31">
                  <c:v>17.658076826489605</c:v>
                </c:pt>
                <c:pt idx="32">
                  <c:v>19.157557851198362</c:v>
                </c:pt>
                <c:pt idx="33">
                  <c:v>17</c:v>
                </c:pt>
                <c:pt idx="34">
                  <c:v>16</c:v>
                </c:pt>
                <c:pt idx="35">
                  <c:v>14.54</c:v>
                </c:pt>
                <c:pt idx="36">
                  <c:v>12.79</c:v>
                </c:pt>
                <c:pt idx="37">
                  <c:v>11.32292004754845</c:v>
                </c:pt>
                <c:pt idx="38">
                  <c:v>9.9274136497363088</c:v>
                </c:pt>
                <c:pt idx="39">
                  <c:v>9.49</c:v>
                </c:pt>
                <c:pt idx="40">
                  <c:v>7.724444597940419</c:v>
                </c:pt>
                <c:pt idx="41">
                  <c:v>6.6577797561276384</c:v>
                </c:pt>
                <c:pt idx="42">
                  <c:v>6</c:v>
                </c:pt>
                <c:pt idx="43">
                  <c:v>4.7324745206062744</c:v>
                </c:pt>
                <c:pt idx="44">
                  <c:v>3.5375655356112929</c:v>
                </c:pt>
                <c:pt idx="45">
                  <c:v>3</c:v>
                </c:pt>
                <c:pt idx="46">
                  <c:v>4</c:v>
                </c:pt>
                <c:pt idx="47">
                  <c:v>3.57</c:v>
                </c:pt>
                <c:pt idx="48">
                  <c:v>2.5</c:v>
                </c:pt>
                <c:pt idx="49">
                  <c:v>2.8681476268851327</c:v>
                </c:pt>
                <c:pt idx="50">
                  <c:v>2.653869294625764</c:v>
                </c:pt>
                <c:pt idx="51">
                  <c:v>2.85</c:v>
                </c:pt>
                <c:pt idx="52">
                  <c:v>2.5012342597779877</c:v>
                </c:pt>
                <c:pt idx="53">
                  <c:v>2.6697549276614265</c:v>
                </c:pt>
                <c:pt idx="54">
                  <c:v>2.5</c:v>
                </c:pt>
                <c:pt idx="55">
                  <c:v>2.4849814514276289</c:v>
                </c:pt>
                <c:pt idx="56">
                  <c:v>2.3801080417935196</c:v>
                </c:pt>
                <c:pt idx="57">
                  <c:v>3.65</c:v>
                </c:pt>
                <c:pt idx="58">
                  <c:v>3.95</c:v>
                </c:pt>
                <c:pt idx="59">
                  <c:v>5</c:v>
                </c:pt>
                <c:pt idx="60">
                  <c:v>5.5</c:v>
                </c:pt>
                <c:pt idx="61">
                  <c:v>6.3826080343721969</c:v>
                </c:pt>
                <c:pt idx="62">
                  <c:v>7.0188184851335791</c:v>
                </c:pt>
                <c:pt idx="63">
                  <c:v>10</c:v>
                </c:pt>
                <c:pt idx="64">
                  <c:v>10.205203370553591</c:v>
                </c:pt>
                <c:pt idx="65">
                  <c:v>11.704640663429018</c:v>
                </c:pt>
                <c:pt idx="6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D-1B4A-9DAC-B9FF089985CB}"/>
            </c:ext>
          </c:extLst>
        </c:ser>
        <c:ser>
          <c:idx val="1"/>
          <c:order val="1"/>
          <c:tx>
            <c:strRef>
              <c:f>'Infl. Exp'!$C$1</c:f>
              <c:strCache>
                <c:ptCount val="1"/>
                <c:pt idx="0">
                  <c:v>Actual (0 = no data)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'Infl. Exp'!$A$2:$A$68</c:f>
              <c:numCache>
                <c:formatCode>m/d/yy</c:formatCode>
                <c:ptCount val="67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</c:numCache>
            </c:numRef>
          </c:cat>
          <c:val>
            <c:numRef>
              <c:f>'Infl. Exp'!$C$2:$C$68</c:f>
              <c:numCache>
                <c:formatCode>General</c:formatCode>
                <c:ptCount val="67"/>
                <c:pt idx="0">
                  <c:v>5.0999999999999996</c:v>
                </c:pt>
                <c:pt idx="1">
                  <c:v>5.15</c:v>
                </c:pt>
                <c:pt idx="2">
                  <c:v>5</c:v>
                </c:pt>
                <c:pt idx="3">
                  <c:v>4.6500000000000004</c:v>
                </c:pt>
                <c:pt idx="4">
                  <c:v>4</c:v>
                </c:pt>
                <c:pt idx="5">
                  <c:v>4.25</c:v>
                </c:pt>
                <c:pt idx="6">
                  <c:v>4.55</c:v>
                </c:pt>
                <c:pt idx="7">
                  <c:v>4.5</c:v>
                </c:pt>
                <c:pt idx="8">
                  <c:v>4.6399999999999997</c:v>
                </c:pt>
                <c:pt idx="9">
                  <c:v>4.53</c:v>
                </c:pt>
                <c:pt idx="10">
                  <c:v>4.5</c:v>
                </c:pt>
                <c:pt idx="11">
                  <c:v>4.4400000000000004</c:v>
                </c:pt>
                <c:pt idx="12">
                  <c:v>4.7</c:v>
                </c:pt>
                <c:pt idx="13">
                  <c:v>4.8499999999999996</c:v>
                </c:pt>
                <c:pt idx="14">
                  <c:v>5.65</c:v>
                </c:pt>
                <c:pt idx="15">
                  <c:v>6.3</c:v>
                </c:pt>
                <c:pt idx="16">
                  <c:v>5.7</c:v>
                </c:pt>
                <c:pt idx="17">
                  <c:v>6</c:v>
                </c:pt>
                <c:pt idx="18">
                  <c:v>6.5</c:v>
                </c:pt>
                <c:pt idx="19">
                  <c:v>6.35</c:v>
                </c:pt>
                <c:pt idx="20">
                  <c:v>11</c:v>
                </c:pt>
                <c:pt idx="21">
                  <c:v>9</c:v>
                </c:pt>
                <c:pt idx="22">
                  <c:v>10.55</c:v>
                </c:pt>
                <c:pt idx="23">
                  <c:v>12</c:v>
                </c:pt>
                <c:pt idx="24">
                  <c:v>14</c:v>
                </c:pt>
                <c:pt idx="25">
                  <c:v>0</c:v>
                </c:pt>
                <c:pt idx="26">
                  <c:v>0</c:v>
                </c:pt>
                <c:pt idx="27">
                  <c:v>13.9</c:v>
                </c:pt>
                <c:pt idx="28">
                  <c:v>0</c:v>
                </c:pt>
                <c:pt idx="29">
                  <c:v>0</c:v>
                </c:pt>
                <c:pt idx="30">
                  <c:v>18</c:v>
                </c:pt>
                <c:pt idx="31">
                  <c:v>0</c:v>
                </c:pt>
                <c:pt idx="32">
                  <c:v>0</c:v>
                </c:pt>
                <c:pt idx="33">
                  <c:v>17</c:v>
                </c:pt>
                <c:pt idx="34">
                  <c:v>16</c:v>
                </c:pt>
                <c:pt idx="35">
                  <c:v>14.54</c:v>
                </c:pt>
                <c:pt idx="36">
                  <c:v>12.79</c:v>
                </c:pt>
                <c:pt idx="37">
                  <c:v>0</c:v>
                </c:pt>
                <c:pt idx="38">
                  <c:v>0</c:v>
                </c:pt>
                <c:pt idx="39">
                  <c:v>9.49</c:v>
                </c:pt>
                <c:pt idx="40">
                  <c:v>0</c:v>
                </c:pt>
                <c:pt idx="41">
                  <c:v>0</c:v>
                </c:pt>
                <c:pt idx="42">
                  <c:v>6</c:v>
                </c:pt>
                <c:pt idx="43">
                  <c:v>0</c:v>
                </c:pt>
                <c:pt idx="44">
                  <c:v>0</c:v>
                </c:pt>
                <c:pt idx="45">
                  <c:v>3</c:v>
                </c:pt>
                <c:pt idx="46">
                  <c:v>4</c:v>
                </c:pt>
                <c:pt idx="47">
                  <c:v>3.57</c:v>
                </c:pt>
                <c:pt idx="48">
                  <c:v>2.5</c:v>
                </c:pt>
                <c:pt idx="49">
                  <c:v>0</c:v>
                </c:pt>
                <c:pt idx="50">
                  <c:v>0</c:v>
                </c:pt>
                <c:pt idx="51">
                  <c:v>2.85</c:v>
                </c:pt>
                <c:pt idx="52">
                  <c:v>0</c:v>
                </c:pt>
                <c:pt idx="53">
                  <c:v>0</c:v>
                </c:pt>
                <c:pt idx="54">
                  <c:v>2.5</c:v>
                </c:pt>
                <c:pt idx="55">
                  <c:v>0</c:v>
                </c:pt>
                <c:pt idx="56">
                  <c:v>0</c:v>
                </c:pt>
                <c:pt idx="57">
                  <c:v>3.65</c:v>
                </c:pt>
                <c:pt idx="58">
                  <c:v>3.95</c:v>
                </c:pt>
                <c:pt idx="59">
                  <c:v>5</c:v>
                </c:pt>
                <c:pt idx="60">
                  <c:v>5.5</c:v>
                </c:pt>
                <c:pt idx="61">
                  <c:v>0</c:v>
                </c:pt>
                <c:pt idx="62">
                  <c:v>0</c:v>
                </c:pt>
                <c:pt idx="63">
                  <c:v>10</c:v>
                </c:pt>
                <c:pt idx="64">
                  <c:v>0</c:v>
                </c:pt>
                <c:pt idx="65">
                  <c:v>0</c:v>
                </c:pt>
                <c:pt idx="6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2D-1B4A-9DAC-B9FF08998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637343"/>
        <c:axId val="918639071"/>
      </c:lineChart>
      <c:dateAx>
        <c:axId val="91863734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39071"/>
        <c:crosses val="autoZero"/>
        <c:auto val="1"/>
        <c:lblOffset val="100"/>
        <c:baseTimeUnit val="months"/>
      </c:dateAx>
      <c:valAx>
        <c:axId val="91863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3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660400</xdr:colOff>
      <xdr:row>1</xdr:row>
      <xdr:rowOff>6350</xdr:rowOff>
    </xdr:from>
    <xdr:to>
      <xdr:col>16</xdr:col>
      <xdr:colOff>0</xdr:colOff>
      <xdr:row>20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E67EDC-3952-34C7-408B-19A49FFAD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6670</xdr:colOff>
      <xdr:row>1</xdr:row>
      <xdr:rowOff>10993</xdr:rowOff>
    </xdr:from>
    <xdr:to>
      <xdr:col>12</xdr:col>
      <xdr:colOff>447435</xdr:colOff>
      <xdr:row>14</xdr:row>
      <xdr:rowOff>165635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15CEC6-8191-D211-01DC-1C70A395C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7FE3-4A6D-5947-BA82-118D92DF9F07}">
  <dimension ref="A1:U417"/>
  <sheetViews>
    <sheetView tabSelected="1" topLeftCell="C1" zoomScaleNormal="89" workbookViewId="0">
      <selection activeCell="K22" sqref="K22"/>
    </sheetView>
  </sheetViews>
  <sheetFormatPr baseColWidth="10" defaultRowHeight="16" x14ac:dyDescent="0.2"/>
  <cols>
    <col min="9" max="9" width="20" bestFit="1" customWidth="1"/>
    <col min="10" max="10" width="17" bestFit="1" customWidth="1"/>
    <col min="11" max="11" width="16.33203125" bestFit="1" customWidth="1"/>
  </cols>
  <sheetData>
    <row r="1" spans="1:17" x14ac:dyDescent="0.2">
      <c r="A1" t="s">
        <v>0</v>
      </c>
      <c r="B1" t="s">
        <v>1</v>
      </c>
      <c r="C1" t="s">
        <v>6</v>
      </c>
      <c r="D1" t="s">
        <v>2</v>
      </c>
      <c r="E1" t="s">
        <v>5</v>
      </c>
      <c r="F1" t="s">
        <v>3</v>
      </c>
      <c r="G1" s="1" t="s">
        <v>4</v>
      </c>
      <c r="H1" t="s">
        <v>10</v>
      </c>
      <c r="I1" t="s">
        <v>11</v>
      </c>
    </row>
    <row r="2" spans="1:17" x14ac:dyDescent="0.2">
      <c r="A2" s="1">
        <v>38687</v>
      </c>
      <c r="B2" s="2">
        <v>4.9085182239999997E-2</v>
      </c>
      <c r="C2">
        <v>11.960015956795107</v>
      </c>
      <c r="D2">
        <v>29.531238299999274</v>
      </c>
      <c r="E2">
        <v>16.433876187214196</v>
      </c>
      <c r="F2">
        <v>688091.27811208984</v>
      </c>
      <c r="G2">
        <v>16.138436638978042</v>
      </c>
      <c r="H2" s="6">
        <v>5.0999999999999997E-2</v>
      </c>
      <c r="I2">
        <f>LN(H2)</f>
        <v>-2.9759296462578115</v>
      </c>
    </row>
    <row r="3" spans="1:17" x14ac:dyDescent="0.2">
      <c r="A3" s="1">
        <v>38718</v>
      </c>
      <c r="B3" s="2">
        <v>3.9067636689999997E-2</v>
      </c>
      <c r="C3">
        <v>11.706037346258544</v>
      </c>
      <c r="D3">
        <v>42.03996611999986</v>
      </c>
      <c r="E3">
        <v>16.495691321636041</v>
      </c>
      <c r="F3">
        <v>-1648687.4877806045</v>
      </c>
      <c r="G3">
        <v>16.091224451387344</v>
      </c>
      <c r="H3" s="6">
        <v>5.1500000000000004E-2</v>
      </c>
      <c r="I3">
        <f t="shared" ref="I3:I66" si="0">LN(H3)</f>
        <v>-2.9661734713124464</v>
      </c>
    </row>
    <row r="4" spans="1:17" x14ac:dyDescent="0.2">
      <c r="A4" s="1">
        <v>38749</v>
      </c>
      <c r="B4" s="2">
        <v>4.1772894620000001E-2</v>
      </c>
      <c r="C4">
        <v>11.546456271261665</v>
      </c>
      <c r="D4">
        <v>98.482430679999737</v>
      </c>
      <c r="E4">
        <v>16.522933994334945</v>
      </c>
      <c r="F4">
        <v>-1861520.5366064245</v>
      </c>
      <c r="G4">
        <v>16.094818929250277</v>
      </c>
      <c r="H4" s="6">
        <v>0.05</v>
      </c>
      <c r="I4">
        <f t="shared" si="0"/>
        <v>-2.9957322735539909</v>
      </c>
    </row>
    <row r="5" spans="1:17" x14ac:dyDescent="0.2">
      <c r="A5" s="1">
        <v>38777</v>
      </c>
      <c r="B5" s="2">
        <v>3.7241372709999998E-2</v>
      </c>
      <c r="C5">
        <v>11.749569236836566</v>
      </c>
      <c r="D5">
        <v>84.725678159999518</v>
      </c>
      <c r="E5">
        <v>16.591319983630491</v>
      </c>
      <c r="F5">
        <v>-3092549.6995381424</v>
      </c>
      <c r="G5">
        <v>16.099874111220423</v>
      </c>
      <c r="H5" s="6">
        <v>4.6500000000000007E-2</v>
      </c>
      <c r="I5">
        <f t="shared" si="0"/>
        <v>-3.0683029663888264</v>
      </c>
      <c r="J5" s="1"/>
      <c r="K5" s="1"/>
      <c r="L5" s="1"/>
      <c r="M5" s="1"/>
      <c r="N5" s="1"/>
      <c r="O5" s="1"/>
      <c r="P5" s="1"/>
      <c r="Q5" s="1"/>
    </row>
    <row r="6" spans="1:17" x14ac:dyDescent="0.2">
      <c r="A6" s="1">
        <v>38808</v>
      </c>
      <c r="B6" s="2">
        <v>4.2611371859999997E-2</v>
      </c>
      <c r="C6">
        <v>11.638301644053955</v>
      </c>
      <c r="D6">
        <v>83.298226000000113</v>
      </c>
      <c r="E6">
        <v>16.685940203504263</v>
      </c>
      <c r="F6">
        <v>-3801233.9963053539</v>
      </c>
      <c r="G6">
        <v>16.141356024522398</v>
      </c>
      <c r="H6" s="6">
        <v>0.04</v>
      </c>
      <c r="I6">
        <f t="shared" si="0"/>
        <v>-3.2188758248682006</v>
      </c>
    </row>
    <row r="7" spans="1:17" x14ac:dyDescent="0.2">
      <c r="A7" s="1">
        <v>38838</v>
      </c>
      <c r="B7" s="2">
        <v>4.4287684279999996E-2</v>
      </c>
      <c r="C7">
        <v>11.784433413637565</v>
      </c>
      <c r="D7">
        <v>69.924356609999677</v>
      </c>
      <c r="E7">
        <v>16.765945886404737</v>
      </c>
      <c r="F7">
        <v>-4739770.1017086795</v>
      </c>
      <c r="G7">
        <v>16.198625013316253</v>
      </c>
      <c r="H7" s="6">
        <v>4.2500000000000003E-2</v>
      </c>
      <c r="I7">
        <f t="shared" si="0"/>
        <v>-3.158251203051766</v>
      </c>
    </row>
    <row r="8" spans="1:17" x14ac:dyDescent="0.2">
      <c r="A8" s="1">
        <v>38869</v>
      </c>
      <c r="B8" s="2">
        <v>3.4863990640000002E-2</v>
      </c>
      <c r="C8">
        <v>11.819042671301602</v>
      </c>
      <c r="D8">
        <v>114.84999334999969</v>
      </c>
      <c r="E8">
        <v>16.795805213347901</v>
      </c>
      <c r="F8">
        <v>-5224216.5695206607</v>
      </c>
      <c r="G8">
        <v>16.263048890012342</v>
      </c>
      <c r="H8" s="6">
        <v>4.5499999999999999E-2</v>
      </c>
      <c r="I8">
        <f t="shared" si="0"/>
        <v>-3.0900429530252325</v>
      </c>
    </row>
    <row r="9" spans="1:17" x14ac:dyDescent="0.2">
      <c r="A9" s="1">
        <v>38899</v>
      </c>
      <c r="B9" s="2">
        <v>4.5542199899999997E-2</v>
      </c>
      <c r="C9">
        <v>11.873981444144187</v>
      </c>
      <c r="D9">
        <v>187.74509022000038</v>
      </c>
      <c r="E9">
        <v>16.872504085309789</v>
      </c>
      <c r="F9">
        <v>-6036423.0854640286</v>
      </c>
      <c r="G9">
        <v>16.306420679531353</v>
      </c>
      <c r="H9" s="6">
        <v>4.4999999999999998E-2</v>
      </c>
      <c r="I9">
        <f t="shared" si="0"/>
        <v>-3.1010927892118172</v>
      </c>
    </row>
    <row r="10" spans="1:17" x14ac:dyDescent="0.2">
      <c r="A10" s="1">
        <v>38930</v>
      </c>
      <c r="B10" s="2">
        <v>4.3857636849999999E-2</v>
      </c>
      <c r="C10">
        <v>11.873977053412654</v>
      </c>
      <c r="D10">
        <v>153.25002067999938</v>
      </c>
      <c r="E10">
        <v>16.909573330106198</v>
      </c>
      <c r="F10">
        <v>-6696649.4550510412</v>
      </c>
      <c r="G10">
        <v>16.329862812270047</v>
      </c>
      <c r="H10" s="6">
        <v>4.6399999999999997E-2</v>
      </c>
      <c r="I10">
        <f t="shared" si="0"/>
        <v>-3.0704558197499274</v>
      </c>
    </row>
    <row r="11" spans="1:17" x14ac:dyDescent="0.2">
      <c r="A11" s="1">
        <v>38961</v>
      </c>
      <c r="B11" s="2">
        <v>4.3135030560000003E-2</v>
      </c>
      <c r="C11">
        <v>11.903327228419867</v>
      </c>
      <c r="D11">
        <v>143.76067880999969</v>
      </c>
      <c r="E11">
        <v>16.948282843234121</v>
      </c>
      <c r="F11">
        <v>-7524650.3316732291</v>
      </c>
      <c r="G11">
        <v>16.360232363611285</v>
      </c>
      <c r="H11" s="6">
        <v>4.53E-2</v>
      </c>
      <c r="I11">
        <f t="shared" si="0"/>
        <v>-3.0944482464931489</v>
      </c>
    </row>
    <row r="12" spans="1:17" x14ac:dyDescent="0.2">
      <c r="A12" s="1">
        <v>38991</v>
      </c>
      <c r="B12" s="2">
        <v>4.4120914599999998E-2</v>
      </c>
      <c r="C12">
        <v>12.004555425200262</v>
      </c>
      <c r="D12">
        <v>148.34688914000037</v>
      </c>
      <c r="E12">
        <v>16.977471445919626</v>
      </c>
      <c r="F12">
        <v>-7851591.7890402814</v>
      </c>
      <c r="G12">
        <v>16.375506675608072</v>
      </c>
      <c r="H12" s="6">
        <v>4.4999999999999998E-2</v>
      </c>
      <c r="I12">
        <f t="shared" si="0"/>
        <v>-3.1010927892118172</v>
      </c>
    </row>
    <row r="13" spans="1:17" x14ac:dyDescent="0.2">
      <c r="A13" s="1">
        <v>39022</v>
      </c>
      <c r="B13" s="2">
        <v>4.7388761670000001E-2</v>
      </c>
      <c r="C13">
        <v>11.886270261638186</v>
      </c>
      <c r="D13">
        <v>68.518039769999859</v>
      </c>
      <c r="E13">
        <v>17.010585768225258</v>
      </c>
      <c r="F13">
        <v>-7669077.8647505688</v>
      </c>
      <c r="G13">
        <v>16.44504406871717</v>
      </c>
      <c r="H13" s="6">
        <v>4.4400000000000002E-2</v>
      </c>
      <c r="I13">
        <f t="shared" si="0"/>
        <v>-3.114515809543958</v>
      </c>
    </row>
    <row r="14" spans="1:17" x14ac:dyDescent="0.2">
      <c r="A14" s="1">
        <v>39052</v>
      </c>
      <c r="B14" s="2">
        <v>4.9451692889999996E-2</v>
      </c>
      <c r="C14">
        <v>11.800162093226474</v>
      </c>
      <c r="D14">
        <v>111.2073445299996</v>
      </c>
      <c r="E14">
        <v>17.04272604775473</v>
      </c>
      <c r="F14">
        <v>-6146738.8980542328</v>
      </c>
      <c r="G14">
        <v>16.574468335029845</v>
      </c>
      <c r="H14" s="6">
        <v>4.7E-2</v>
      </c>
      <c r="I14">
        <f t="shared" si="0"/>
        <v>-3.0576076772720784</v>
      </c>
    </row>
    <row r="15" spans="1:17" x14ac:dyDescent="0.2">
      <c r="A15" s="1">
        <v>39083</v>
      </c>
      <c r="B15" s="2">
        <v>6.0226410059999999E-2</v>
      </c>
      <c r="C15">
        <v>11.742928976858616</v>
      </c>
      <c r="D15">
        <v>47.874578810000116</v>
      </c>
      <c r="E15">
        <v>17.059138325960351</v>
      </c>
      <c r="F15">
        <v>-7090939.0444820924</v>
      </c>
      <c r="G15">
        <v>16.55546424524595</v>
      </c>
      <c r="H15" s="6">
        <v>4.8499999999999995E-2</v>
      </c>
      <c r="I15">
        <f t="shared" si="0"/>
        <v>-3.0261914810386998</v>
      </c>
    </row>
    <row r="16" spans="1:17" x14ac:dyDescent="0.2">
      <c r="A16" s="1">
        <v>39114</v>
      </c>
      <c r="B16" s="2">
        <v>6.5745755079999996E-2</v>
      </c>
      <c r="C16">
        <v>11.472205861041211</v>
      </c>
      <c r="D16">
        <v>94.384594809999697</v>
      </c>
      <c r="E16">
        <v>17.095841693530325</v>
      </c>
      <c r="F16">
        <v>-7536965.3369938396</v>
      </c>
      <c r="G16">
        <v>16.575261089365711</v>
      </c>
      <c r="H16" s="6">
        <v>5.6500000000000002E-2</v>
      </c>
      <c r="I16">
        <f t="shared" si="0"/>
        <v>-2.8735146408297418</v>
      </c>
    </row>
    <row r="17" spans="1:9" x14ac:dyDescent="0.2">
      <c r="A17" s="1">
        <v>39142</v>
      </c>
      <c r="B17" s="2">
        <v>7.1889708570000002E-2</v>
      </c>
      <c r="C17">
        <v>11.774290846104446</v>
      </c>
      <c r="D17">
        <v>59.08455952000071</v>
      </c>
      <c r="E17">
        <v>17.14316521858299</v>
      </c>
      <c r="F17">
        <v>-8373863.1548027908</v>
      </c>
      <c r="G17">
        <v>16.604322839458639</v>
      </c>
      <c r="H17" s="6">
        <v>6.3E-2</v>
      </c>
      <c r="I17">
        <f t="shared" si="0"/>
        <v>-2.7646205525906042</v>
      </c>
    </row>
    <row r="18" spans="1:9" x14ac:dyDescent="0.2">
      <c r="A18" s="1">
        <v>39173</v>
      </c>
      <c r="B18" s="2">
        <v>6.7645526720000002E-2</v>
      </c>
      <c r="C18">
        <v>11.688326798826992</v>
      </c>
      <c r="D18">
        <v>72.254645559999688</v>
      </c>
      <c r="E18">
        <v>17.198521150453335</v>
      </c>
      <c r="F18">
        <v>-9355528.2934757695</v>
      </c>
      <c r="G18">
        <v>16.619010501892042</v>
      </c>
      <c r="H18" s="6">
        <v>5.7000000000000002E-2</v>
      </c>
      <c r="I18">
        <f t="shared" si="0"/>
        <v>-2.864704011147587</v>
      </c>
    </row>
    <row r="19" spans="1:9" x14ac:dyDescent="0.2">
      <c r="A19" s="1">
        <v>39203</v>
      </c>
      <c r="B19" s="2">
        <v>6.3594256729999993E-2</v>
      </c>
      <c r="C19">
        <v>11.830867938145964</v>
      </c>
      <c r="D19">
        <v>90.413596630000256</v>
      </c>
      <c r="E19">
        <v>17.22424060267025</v>
      </c>
      <c r="F19">
        <v>-10035894.476221863</v>
      </c>
      <c r="G19">
        <v>16.667710944264524</v>
      </c>
      <c r="H19" s="6">
        <v>0.06</v>
      </c>
      <c r="I19">
        <f t="shared" si="0"/>
        <v>-2.8134107167600364</v>
      </c>
    </row>
    <row r="20" spans="1:9" x14ac:dyDescent="0.2">
      <c r="A20" s="1">
        <v>39234</v>
      </c>
      <c r="B20" s="2">
        <v>6.5946026939999999E-2</v>
      </c>
      <c r="C20">
        <v>11.891613102013491</v>
      </c>
      <c r="D20">
        <v>132.60609296000013</v>
      </c>
      <c r="E20">
        <v>17.234623028931988</v>
      </c>
      <c r="F20">
        <v>-9203285.6014469136</v>
      </c>
      <c r="G20">
        <v>16.720517288649035</v>
      </c>
      <c r="H20" s="6">
        <v>6.5000000000000002E-2</v>
      </c>
      <c r="I20">
        <f t="shared" si="0"/>
        <v>-2.7333680090865</v>
      </c>
    </row>
    <row r="21" spans="1:9" x14ac:dyDescent="0.2">
      <c r="A21" s="1">
        <v>39264</v>
      </c>
      <c r="B21" s="2">
        <v>8.8353097640000003E-2</v>
      </c>
      <c r="C21">
        <v>11.980140020864365</v>
      </c>
      <c r="D21">
        <v>123.38764310000022</v>
      </c>
      <c r="E21">
        <v>17.280069247119275</v>
      </c>
      <c r="F21">
        <v>-9927077.9142378885</v>
      </c>
      <c r="G21">
        <v>16.773235074999324</v>
      </c>
      <c r="H21" s="6">
        <v>6.3500000000000001E-2</v>
      </c>
      <c r="I21">
        <f t="shared" si="0"/>
        <v>-2.756715373083491</v>
      </c>
    </row>
    <row r="22" spans="1:9" x14ac:dyDescent="0.2">
      <c r="A22" s="1">
        <v>39295</v>
      </c>
      <c r="B22" s="2">
        <v>0.10358468900000001</v>
      </c>
      <c r="C22">
        <v>12.041684971015597</v>
      </c>
      <c r="D22">
        <v>97.987065650000432</v>
      </c>
      <c r="E22">
        <v>17.335924656694388</v>
      </c>
      <c r="F22">
        <v>-9554583.9636361115</v>
      </c>
      <c r="G22">
        <v>16.865680410131688</v>
      </c>
      <c r="H22" s="6">
        <v>0.11</v>
      </c>
      <c r="I22">
        <f t="shared" si="0"/>
        <v>-2.2072749131897207</v>
      </c>
    </row>
    <row r="23" spans="1:9" x14ac:dyDescent="0.2">
      <c r="A23" s="1">
        <v>39326</v>
      </c>
      <c r="B23" s="2">
        <v>0.1047834916</v>
      </c>
      <c r="C23">
        <v>12.063756090408686</v>
      </c>
      <c r="D23">
        <v>140.25336735999986</v>
      </c>
      <c r="E23">
        <v>17.414601519574688</v>
      </c>
      <c r="F23">
        <v>-9870916.8292107172</v>
      </c>
      <c r="G23">
        <v>16.912336845681175</v>
      </c>
      <c r="H23" s="6">
        <v>0.09</v>
      </c>
      <c r="I23">
        <f t="shared" si="0"/>
        <v>-2.4079456086518722</v>
      </c>
    </row>
    <row r="24" spans="1:9" x14ac:dyDescent="0.2">
      <c r="A24" s="1">
        <v>39356</v>
      </c>
      <c r="B24" s="2">
        <v>0.1133534512</v>
      </c>
      <c r="C24">
        <v>12.12704789040043</v>
      </c>
      <c r="D24">
        <v>126.27590546999971</v>
      </c>
      <c r="E24">
        <v>17.445522015270392</v>
      </c>
      <c r="F24">
        <v>-10005800.813524056</v>
      </c>
      <c r="G24">
        <v>16.949455021171566</v>
      </c>
      <c r="H24" s="6">
        <v>0.10550000000000001</v>
      </c>
      <c r="I24">
        <f t="shared" si="0"/>
        <v>-2.2490443260660156</v>
      </c>
    </row>
    <row r="25" spans="1:9" x14ac:dyDescent="0.2">
      <c r="A25" s="1">
        <v>39387</v>
      </c>
      <c r="B25" s="2">
        <v>0.1186157635</v>
      </c>
      <c r="C25">
        <v>12.032984529021372</v>
      </c>
      <c r="D25">
        <v>164.12190218000001</v>
      </c>
      <c r="E25">
        <v>17.472671273424272</v>
      </c>
      <c r="F25">
        <v>-9953057.9160852227</v>
      </c>
      <c r="G25">
        <v>17.000980833707878</v>
      </c>
      <c r="H25" s="6">
        <v>0.12</v>
      </c>
      <c r="I25">
        <f t="shared" si="0"/>
        <v>-2.120263536200091</v>
      </c>
    </row>
    <row r="26" spans="1:9" x14ac:dyDescent="0.2">
      <c r="A26" s="1">
        <v>39417</v>
      </c>
      <c r="B26" s="2">
        <v>0.11726456880000001</v>
      </c>
      <c r="C26">
        <v>11.961773126567705</v>
      </c>
      <c r="D26">
        <v>153.10922555000019</v>
      </c>
      <c r="E26">
        <v>17.511033971344371</v>
      </c>
      <c r="F26">
        <v>-8061803.4753122861</v>
      </c>
      <c r="G26">
        <v>17.124741050297505</v>
      </c>
      <c r="H26" s="6">
        <v>0.14000000000000001</v>
      </c>
      <c r="I26">
        <f t="shared" si="0"/>
        <v>-1.9661128563728327</v>
      </c>
    </row>
    <row r="27" spans="1:9" x14ac:dyDescent="0.2">
      <c r="A27" s="1">
        <v>39448</v>
      </c>
      <c r="B27" s="2">
        <v>0.11347372890000001</v>
      </c>
      <c r="C27">
        <v>11.908689334532493</v>
      </c>
      <c r="D27">
        <v>167.24659493000036</v>
      </c>
      <c r="E27">
        <v>17.561136178713035</v>
      </c>
      <c r="F27">
        <v>-8564985.6129325368</v>
      </c>
      <c r="G27">
        <v>17.132803470034784</v>
      </c>
      <c r="H27" s="6">
        <v>0.14010772025626694</v>
      </c>
      <c r="I27">
        <f t="shared" si="0"/>
        <v>-1.965343721830745</v>
      </c>
    </row>
    <row r="28" spans="1:9" x14ac:dyDescent="0.2">
      <c r="A28" s="1">
        <v>39479</v>
      </c>
      <c r="B28" s="2">
        <v>0.13319964149999999</v>
      </c>
      <c r="C28">
        <v>11.729732663936904</v>
      </c>
      <c r="D28">
        <v>171.5273673400003</v>
      </c>
      <c r="E28">
        <v>17.619834648822227</v>
      </c>
      <c r="F28">
        <v>-9421012.1613935251</v>
      </c>
      <c r="G28">
        <v>17.181063218761349</v>
      </c>
      <c r="H28" s="6">
        <v>0.15980808430008209</v>
      </c>
      <c r="I28">
        <f t="shared" si="0"/>
        <v>-1.8337816568164449</v>
      </c>
    </row>
    <row r="29" spans="1:9" x14ac:dyDescent="0.2">
      <c r="A29" s="1">
        <v>39508</v>
      </c>
      <c r="B29" s="2">
        <v>0.14081554000000002</v>
      </c>
      <c r="C29">
        <v>11.889858716680747</v>
      </c>
      <c r="D29">
        <v>215.84124507000001</v>
      </c>
      <c r="E29">
        <v>17.646674377138062</v>
      </c>
      <c r="F29">
        <v>-10573579.826327436</v>
      </c>
      <c r="G29">
        <v>17.2047155641567</v>
      </c>
      <c r="H29" s="6">
        <v>0.13900000000000001</v>
      </c>
      <c r="I29">
        <f t="shared" si="0"/>
        <v>-1.9732813458514451</v>
      </c>
    </row>
    <row r="30" spans="1:9" x14ac:dyDescent="0.2">
      <c r="A30" s="1">
        <v>39539</v>
      </c>
      <c r="B30" s="2">
        <v>0.1521917377</v>
      </c>
      <c r="C30">
        <v>11.937687190019982</v>
      </c>
      <c r="D30">
        <v>201.69416774999922</v>
      </c>
      <c r="E30">
        <v>17.677222911084492</v>
      </c>
      <c r="F30">
        <v>-11186029.261762958</v>
      </c>
      <c r="G30">
        <v>17.264358714731614</v>
      </c>
      <c r="H30" s="6">
        <v>0.15728582679263695</v>
      </c>
      <c r="I30">
        <f t="shared" si="0"/>
        <v>-1.8496905760121574</v>
      </c>
    </row>
    <row r="31" spans="1:9" x14ac:dyDescent="0.2">
      <c r="A31" s="1">
        <v>39569</v>
      </c>
      <c r="B31" s="2">
        <v>0.16843197270000002</v>
      </c>
      <c r="C31">
        <v>12.031036525376246</v>
      </c>
      <c r="D31">
        <v>151.74711964999926</v>
      </c>
      <c r="E31">
        <v>17.712056636859852</v>
      </c>
      <c r="F31">
        <v>-11184796.821468251</v>
      </c>
      <c r="G31">
        <v>17.32013230621202</v>
      </c>
      <c r="H31" s="6">
        <v>0.15739595658638336</v>
      </c>
      <c r="I31">
        <f t="shared" si="0"/>
        <v>-1.8489906321065388</v>
      </c>
    </row>
    <row r="32" spans="1:9" x14ac:dyDescent="0.2">
      <c r="A32" s="1">
        <v>39600</v>
      </c>
      <c r="B32" s="2">
        <v>0.17322972199999997</v>
      </c>
      <c r="C32">
        <v>12.01506224986735</v>
      </c>
      <c r="D32">
        <v>151.39795194000027</v>
      </c>
      <c r="E32">
        <v>17.741505429060773</v>
      </c>
      <c r="F32">
        <v>-11849873.762466978</v>
      </c>
      <c r="G32">
        <v>17.358546016286905</v>
      </c>
      <c r="H32" s="6">
        <v>0.18</v>
      </c>
      <c r="I32">
        <f t="shared" si="0"/>
        <v>-1.7147984280919266</v>
      </c>
    </row>
    <row r="33" spans="1:9" x14ac:dyDescent="0.2">
      <c r="A33" s="1">
        <v>39630</v>
      </c>
      <c r="B33" s="2">
        <v>0.14788023490000002</v>
      </c>
      <c r="C33">
        <v>12.186365223701809</v>
      </c>
      <c r="D33">
        <v>149.86671521999983</v>
      </c>
      <c r="E33">
        <v>17.773812235095136</v>
      </c>
      <c r="F33">
        <v>-13080949.810422665</v>
      </c>
      <c r="G33">
        <v>17.407654316658075</v>
      </c>
      <c r="H33" s="6">
        <v>0.17658076826489605</v>
      </c>
      <c r="I33">
        <f t="shared" si="0"/>
        <v>-1.7339768967145859</v>
      </c>
    </row>
    <row r="34" spans="1:9" x14ac:dyDescent="0.2">
      <c r="A34" s="1">
        <v>39661</v>
      </c>
      <c r="B34" s="2">
        <v>0.13729065329999998</v>
      </c>
      <c r="C34">
        <v>12.035899082166917</v>
      </c>
      <c r="D34">
        <v>187.33791265000059</v>
      </c>
      <c r="E34">
        <v>17.802361075129784</v>
      </c>
      <c r="F34">
        <v>-13971224.82007793</v>
      </c>
      <c r="G34">
        <v>17.434471355939149</v>
      </c>
      <c r="H34" s="6">
        <v>0.19157557851198362</v>
      </c>
      <c r="I34">
        <f t="shared" si="0"/>
        <v>-1.6524728823625991</v>
      </c>
    </row>
    <row r="35" spans="1:9" x14ac:dyDescent="0.2">
      <c r="A35" s="1">
        <v>39692</v>
      </c>
      <c r="B35" s="2">
        <v>0.14513693990000001</v>
      </c>
      <c r="C35">
        <v>12.038012036309254</v>
      </c>
      <c r="D35">
        <v>191.13771901999968</v>
      </c>
      <c r="E35">
        <v>17.815489951992038</v>
      </c>
      <c r="F35">
        <v>-13948736.554825541</v>
      </c>
      <c r="G35">
        <v>17.454009432994031</v>
      </c>
      <c r="H35" s="6">
        <v>0.17</v>
      </c>
      <c r="I35">
        <f t="shared" si="0"/>
        <v>-1.7719568419318752</v>
      </c>
    </row>
    <row r="36" spans="1:9" x14ac:dyDescent="0.2">
      <c r="A36" s="1">
        <v>39722</v>
      </c>
      <c r="B36" s="2">
        <v>0.13304399280000001</v>
      </c>
      <c r="C36">
        <v>12.170515517246981</v>
      </c>
      <c r="D36">
        <v>98.997976960001211</v>
      </c>
      <c r="E36">
        <v>17.777000228199775</v>
      </c>
      <c r="F36">
        <v>-13577531.018219298</v>
      </c>
      <c r="G36">
        <v>17.417247101909378</v>
      </c>
      <c r="H36" s="6">
        <v>0.16</v>
      </c>
      <c r="I36">
        <f t="shared" si="0"/>
        <v>-1.8325814637483102</v>
      </c>
    </row>
    <row r="37" spans="1:9" x14ac:dyDescent="0.2">
      <c r="A37" s="1">
        <v>39753</v>
      </c>
      <c r="B37" s="2">
        <v>0.12077444430000001</v>
      </c>
      <c r="C37">
        <v>12.044036129064283</v>
      </c>
      <c r="D37">
        <v>189.88458391999922</v>
      </c>
      <c r="E37">
        <v>17.787607433080645</v>
      </c>
      <c r="F37">
        <v>-13789405.47494192</v>
      </c>
      <c r="G37">
        <v>17.397411742439271</v>
      </c>
      <c r="H37" s="6">
        <v>0.1454</v>
      </c>
      <c r="I37">
        <f t="shared" si="0"/>
        <v>-1.9282667138827181</v>
      </c>
    </row>
    <row r="38" spans="1:9" x14ac:dyDescent="0.2">
      <c r="A38" s="1">
        <v>39783</v>
      </c>
      <c r="B38" s="2">
        <v>0.11849652020000001</v>
      </c>
      <c r="C38">
        <v>12.109390309750276</v>
      </c>
      <c r="D38">
        <v>81.16129468999992</v>
      </c>
      <c r="E38">
        <v>17.801202531580646</v>
      </c>
      <c r="F38">
        <v>-11931858.23676322</v>
      </c>
      <c r="G38">
        <v>17.446523511137958</v>
      </c>
      <c r="H38" s="6">
        <v>0.12789999999999999</v>
      </c>
      <c r="I38">
        <f t="shared" si="0"/>
        <v>-2.0565065703973402</v>
      </c>
    </row>
    <row r="39" spans="1:9" x14ac:dyDescent="0.2">
      <c r="A39" s="1">
        <v>39814</v>
      </c>
      <c r="B39" s="2">
        <v>0.1104118203</v>
      </c>
      <c r="C39">
        <v>11.968919795637394</v>
      </c>
      <c r="D39">
        <v>-23.285237319999453</v>
      </c>
      <c r="E39">
        <v>17.809132207593244</v>
      </c>
      <c r="F39">
        <v>-12564234.71705419</v>
      </c>
      <c r="G39">
        <v>17.415274258061601</v>
      </c>
      <c r="H39" s="6">
        <v>0.1132292004754845</v>
      </c>
      <c r="I39">
        <f t="shared" si="0"/>
        <v>-2.1783411917472271</v>
      </c>
    </row>
    <row r="40" spans="1:9" x14ac:dyDescent="0.2">
      <c r="A40" s="1">
        <v>39845</v>
      </c>
      <c r="B40" s="2">
        <v>8.1285864090000007E-2</v>
      </c>
      <c r="C40">
        <v>11.797284447068291</v>
      </c>
      <c r="D40">
        <v>77.708808189999843</v>
      </c>
      <c r="E40">
        <v>17.795629585008001</v>
      </c>
      <c r="F40">
        <v>-13157015.446541928</v>
      </c>
      <c r="G40">
        <v>17.404419495275121</v>
      </c>
      <c r="H40" s="6">
        <v>9.9274136497363094E-2</v>
      </c>
      <c r="I40">
        <f t="shared" si="0"/>
        <v>-2.3098702000901539</v>
      </c>
    </row>
    <row r="41" spans="1:9" x14ac:dyDescent="0.2">
      <c r="A41" s="1">
        <v>39873</v>
      </c>
      <c r="B41" s="2">
        <v>6.5636693969999993E-2</v>
      </c>
      <c r="C41">
        <v>12.007619999487805</v>
      </c>
      <c r="D41">
        <v>47.524240650000081</v>
      </c>
      <c r="E41">
        <v>17.806748386965481</v>
      </c>
      <c r="F41">
        <v>-13994098.295523074</v>
      </c>
      <c r="G41">
        <v>17.383199287483063</v>
      </c>
      <c r="H41" s="6">
        <v>9.4899999999999998E-2</v>
      </c>
      <c r="I41">
        <f t="shared" si="0"/>
        <v>-2.354931573366255</v>
      </c>
    </row>
    <row r="42" spans="1:9" x14ac:dyDescent="0.2">
      <c r="A42" s="1">
        <v>39904</v>
      </c>
      <c r="B42" s="2">
        <v>5.3239614810000002E-2</v>
      </c>
      <c r="C42">
        <v>12.013575896603648</v>
      </c>
      <c r="D42">
        <v>45.807009119999861</v>
      </c>
      <c r="E42">
        <v>17.803551744088953</v>
      </c>
      <c r="F42">
        <v>-15092949.144283639</v>
      </c>
      <c r="G42">
        <v>17.377010361816158</v>
      </c>
      <c r="H42" s="6">
        <v>7.7244445979404192E-2</v>
      </c>
      <c r="I42">
        <f t="shared" si="0"/>
        <v>-2.5607802624957161</v>
      </c>
    </row>
    <row r="43" spans="1:9" x14ac:dyDescent="0.2">
      <c r="A43" s="1">
        <v>39934</v>
      </c>
      <c r="B43" s="2">
        <v>3.2001276379999999E-2</v>
      </c>
      <c r="C43">
        <v>12.057551871334867</v>
      </c>
      <c r="D43">
        <v>125.24014440999974</v>
      </c>
      <c r="E43">
        <v>17.823301737743861</v>
      </c>
      <c r="F43">
        <v>-16211804.937160678</v>
      </c>
      <c r="G43">
        <v>17.369328587197074</v>
      </c>
      <c r="H43" s="6">
        <v>6.6577797561276381E-2</v>
      </c>
      <c r="I43">
        <f t="shared" si="0"/>
        <v>-2.7093841269667136</v>
      </c>
    </row>
    <row r="44" spans="1:9" x14ac:dyDescent="0.2">
      <c r="A44" s="1">
        <v>39965</v>
      </c>
      <c r="B44" s="2">
        <v>2.117642011E-2</v>
      </c>
      <c r="C44">
        <v>12.127174990367052</v>
      </c>
      <c r="D44">
        <v>132.03366174000007</v>
      </c>
      <c r="E44">
        <v>17.831007685260278</v>
      </c>
      <c r="F44">
        <v>-15645075.490415856</v>
      </c>
      <c r="G44">
        <v>17.418670408047607</v>
      </c>
      <c r="H44" s="6">
        <v>0.06</v>
      </c>
      <c r="I44">
        <f t="shared" si="0"/>
        <v>-2.8134107167600364</v>
      </c>
    </row>
    <row r="45" spans="1:9" x14ac:dyDescent="0.2">
      <c r="A45" s="1">
        <v>39995</v>
      </c>
      <c r="B45" s="2">
        <v>1.447299168E-2</v>
      </c>
      <c r="C45">
        <v>12.241465947326502</v>
      </c>
      <c r="D45">
        <v>101.54152933999887</v>
      </c>
      <c r="E45">
        <v>17.837590948263596</v>
      </c>
      <c r="F45">
        <v>-16557844.935554955</v>
      </c>
      <c r="G45">
        <v>17.420403687299789</v>
      </c>
      <c r="H45" s="6">
        <v>4.7324745206062745E-2</v>
      </c>
      <c r="I45">
        <f t="shared" si="0"/>
        <v>-3.0507219658196223</v>
      </c>
    </row>
    <row r="46" spans="1:9" x14ac:dyDescent="0.2">
      <c r="A46" s="1">
        <v>40026</v>
      </c>
      <c r="B46" s="2">
        <v>1.4176201140000001E-2</v>
      </c>
      <c r="C46">
        <v>12.188108145841882</v>
      </c>
      <c r="D46">
        <v>126.88743092999954</v>
      </c>
      <c r="E46">
        <v>17.874586522962026</v>
      </c>
      <c r="F46">
        <v>-16285247.744686084</v>
      </c>
      <c r="G46">
        <v>17.432291423623809</v>
      </c>
      <c r="H46" s="6">
        <v>3.537565535611293E-2</v>
      </c>
      <c r="I46">
        <f t="shared" si="0"/>
        <v>-3.3417313972224822</v>
      </c>
    </row>
    <row r="47" spans="1:9" x14ac:dyDescent="0.2">
      <c r="A47" s="1">
        <v>40057</v>
      </c>
      <c r="B47" s="2">
        <v>6.4399944200000002E-3</v>
      </c>
      <c r="C47">
        <v>12.280833211840857</v>
      </c>
      <c r="D47">
        <v>93.324710479999396</v>
      </c>
      <c r="E47">
        <v>17.8917010761085</v>
      </c>
      <c r="F47">
        <v>-15842018.450560136</v>
      </c>
      <c r="G47">
        <v>17.481502528964381</v>
      </c>
      <c r="H47" s="6">
        <v>0.03</v>
      </c>
      <c r="I47">
        <f t="shared" si="0"/>
        <v>-3.5065578973199818</v>
      </c>
    </row>
    <row r="48" spans="1:9" x14ac:dyDescent="0.2">
      <c r="A48" s="1">
        <v>40087</v>
      </c>
      <c r="B48" s="2">
        <v>7.84931434E-3</v>
      </c>
      <c r="C48">
        <v>12.337508149563853</v>
      </c>
      <c r="D48">
        <v>73.286618110000234</v>
      </c>
      <c r="E48">
        <v>17.908790255859106</v>
      </c>
      <c r="F48">
        <v>-14869605.046034338</v>
      </c>
      <c r="G48">
        <v>17.520443668034847</v>
      </c>
      <c r="H48" s="6">
        <v>0.04</v>
      </c>
      <c r="I48">
        <f t="shared" si="0"/>
        <v>-3.2188758248682006</v>
      </c>
    </row>
    <row r="49" spans="1:9" x14ac:dyDescent="0.2">
      <c r="A49" s="1">
        <v>40118</v>
      </c>
      <c r="B49" s="2">
        <v>4.5749773700000003E-3</v>
      </c>
      <c r="C49">
        <v>12.261334962914836</v>
      </c>
      <c r="D49">
        <v>65.672036230000629</v>
      </c>
      <c r="E49">
        <v>17.927340715090743</v>
      </c>
      <c r="F49">
        <v>-14810160.829222972</v>
      </c>
      <c r="G49">
        <v>17.53701873287271</v>
      </c>
      <c r="H49" s="6">
        <v>3.5699999999999996E-2</v>
      </c>
      <c r="I49">
        <f t="shared" si="0"/>
        <v>-3.332604590196544</v>
      </c>
    </row>
    <row r="50" spans="1:9" x14ac:dyDescent="0.2">
      <c r="A50" s="1">
        <v>40148</v>
      </c>
      <c r="B50" s="2">
        <v>2.6378953500000002E-3</v>
      </c>
      <c r="C50">
        <v>12.269739036472741</v>
      </c>
      <c r="D50">
        <v>43.284953969999776</v>
      </c>
      <c r="E50">
        <v>17.90657166105311</v>
      </c>
      <c r="F50">
        <v>-12037861.640102699</v>
      </c>
      <c r="G50">
        <v>17.617959107939413</v>
      </c>
      <c r="H50" s="6">
        <v>2.5000000000000001E-2</v>
      </c>
      <c r="I50">
        <f t="shared" si="0"/>
        <v>-3.6888794541139363</v>
      </c>
    </row>
    <row r="51" spans="1:9" x14ac:dyDescent="0.2">
      <c r="A51" s="1">
        <v>40179</v>
      </c>
      <c r="B51" s="2">
        <v>7.4471713999999997E-4</v>
      </c>
      <c r="C51">
        <v>12.128645285684374</v>
      </c>
      <c r="D51">
        <v>90.387601679999875</v>
      </c>
      <c r="E51">
        <v>17.904035246640177</v>
      </c>
      <c r="F51">
        <v>-12046325.54996266</v>
      </c>
      <c r="G51">
        <v>17.624105290084518</v>
      </c>
      <c r="H51" s="6">
        <v>2.8681476268851328E-2</v>
      </c>
      <c r="I51">
        <f t="shared" si="0"/>
        <v>-3.5515037907661275</v>
      </c>
    </row>
    <row r="52" spans="1:9" x14ac:dyDescent="0.2">
      <c r="A52" s="1">
        <v>40210</v>
      </c>
      <c r="B52" s="2">
        <v>3.1238076099999999E-3</v>
      </c>
      <c r="C52">
        <v>11.918445604897448</v>
      </c>
      <c r="D52">
        <v>110.04490570999928</v>
      </c>
      <c r="E52">
        <v>17.89995393499732</v>
      </c>
      <c r="F52">
        <v>-11898433.159611983</v>
      </c>
      <c r="G52">
        <v>17.626850171867162</v>
      </c>
      <c r="H52" s="6">
        <v>2.6538692946257641E-2</v>
      </c>
      <c r="I52">
        <f t="shared" si="0"/>
        <v>-3.6291514997362744</v>
      </c>
    </row>
    <row r="53" spans="1:9" x14ac:dyDescent="0.2">
      <c r="A53" s="1">
        <v>40238</v>
      </c>
      <c r="B53" s="2">
        <v>6.8550965300000002E-3</v>
      </c>
      <c r="C53">
        <v>12.15715972632665</v>
      </c>
      <c r="D53">
        <v>92.400379779999639</v>
      </c>
      <c r="E53">
        <v>17.89097747831936</v>
      </c>
      <c r="F53">
        <v>-12534189.589627642</v>
      </c>
      <c r="G53">
        <v>17.622553031996983</v>
      </c>
      <c r="H53" s="6">
        <v>2.8500000000000001E-2</v>
      </c>
      <c r="I53">
        <f t="shared" si="0"/>
        <v>-3.5578511917075324</v>
      </c>
    </row>
    <row r="54" spans="1:9" x14ac:dyDescent="0.2">
      <c r="A54" s="1">
        <v>40269</v>
      </c>
      <c r="B54" s="2">
        <v>1.215573996E-2</v>
      </c>
      <c r="C54">
        <v>12.178489298790929</v>
      </c>
      <c r="D54">
        <v>54.908305180000639</v>
      </c>
      <c r="E54">
        <v>17.890136584270397</v>
      </c>
      <c r="F54">
        <v>-14535737.46891183</v>
      </c>
      <c r="G54">
        <v>17.613030218911387</v>
      </c>
      <c r="H54" s="6">
        <v>2.5012342597779878E-2</v>
      </c>
      <c r="I54">
        <f t="shared" si="0"/>
        <v>-3.6883858720344196</v>
      </c>
    </row>
    <row r="55" spans="1:9" x14ac:dyDescent="0.2">
      <c r="A55" s="1">
        <v>40299</v>
      </c>
      <c r="B55" s="2">
        <v>1.3847062859999999E-2</v>
      </c>
      <c r="C55">
        <v>12.175901850058969</v>
      </c>
      <c r="D55">
        <v>154.42221655999907</v>
      </c>
      <c r="E55">
        <v>17.891965593941425</v>
      </c>
      <c r="F55">
        <v>-14921374.404462183</v>
      </c>
      <c r="G55">
        <v>17.642541575684238</v>
      </c>
      <c r="H55" s="6">
        <v>2.6697549276614264E-2</v>
      </c>
      <c r="I55">
        <f t="shared" si="0"/>
        <v>-3.6231835051813781</v>
      </c>
    </row>
    <row r="56" spans="1:9" x14ac:dyDescent="0.2">
      <c r="A56" s="1">
        <v>40330</v>
      </c>
      <c r="B56" s="2">
        <v>1.32865907E-2</v>
      </c>
      <c r="C56">
        <v>12.185286655891693</v>
      </c>
      <c r="D56">
        <v>185.16367306999973</v>
      </c>
      <c r="E56">
        <v>17.901572715685713</v>
      </c>
      <c r="F56">
        <v>-16051877.890473671</v>
      </c>
      <c r="G56">
        <v>17.641091692563876</v>
      </c>
      <c r="H56" s="6">
        <v>2.5000000000000001E-2</v>
      </c>
      <c r="I56">
        <f t="shared" si="0"/>
        <v>-3.6888794541139363</v>
      </c>
    </row>
    <row r="57" spans="1:9" x14ac:dyDescent="0.2">
      <c r="A57" s="1">
        <v>40360</v>
      </c>
      <c r="B57" s="2">
        <v>2.1609522609999997E-2</v>
      </c>
      <c r="C57">
        <v>12.236466778397576</v>
      </c>
      <c r="D57">
        <v>177.88760125999983</v>
      </c>
      <c r="E57">
        <v>17.91084773094796</v>
      </c>
      <c r="F57">
        <v>-17451955.82385318</v>
      </c>
      <c r="G57">
        <v>17.648490066246296</v>
      </c>
      <c r="H57" s="6">
        <v>2.484981451427629E-2</v>
      </c>
      <c r="I57">
        <f t="shared" si="0"/>
        <v>-3.6949049906815907</v>
      </c>
    </row>
    <row r="58" spans="1:9" x14ac:dyDescent="0.2">
      <c r="A58" s="1">
        <v>40391</v>
      </c>
      <c r="B58" s="2">
        <v>2.6002576620000002E-2</v>
      </c>
      <c r="C58">
        <v>12.256116071657706</v>
      </c>
      <c r="D58">
        <v>156.32324483999912</v>
      </c>
      <c r="E58">
        <v>17.92471279965056</v>
      </c>
      <c r="F58">
        <v>-18695844.246511422</v>
      </c>
      <c r="G58">
        <v>17.658402335465944</v>
      </c>
      <c r="H58" s="6">
        <v>2.3801080417935196E-2</v>
      </c>
      <c r="I58">
        <f t="shared" si="0"/>
        <v>-3.7380243036234995</v>
      </c>
    </row>
    <row r="59" spans="1:9" x14ac:dyDescent="0.2">
      <c r="A59" s="1">
        <v>40422</v>
      </c>
      <c r="B59" s="2">
        <v>3.2708789410000001E-2</v>
      </c>
      <c r="C59">
        <v>12.367728547726998</v>
      </c>
      <c r="D59">
        <v>126.01092256000129</v>
      </c>
      <c r="E59">
        <v>17.96082547031731</v>
      </c>
      <c r="F59">
        <v>-19622556.781357232</v>
      </c>
      <c r="G59">
        <v>17.678171008357619</v>
      </c>
      <c r="H59" s="6">
        <v>3.6499999999999998E-2</v>
      </c>
      <c r="I59">
        <f t="shared" si="0"/>
        <v>-3.3104430183936913</v>
      </c>
    </row>
    <row r="60" spans="1:9" x14ac:dyDescent="0.2">
      <c r="A60" s="1">
        <v>40452</v>
      </c>
      <c r="B60" s="2">
        <v>4.2037169499999999E-2</v>
      </c>
      <c r="C60">
        <v>12.298144245883648</v>
      </c>
      <c r="D60">
        <v>194.63256088999862</v>
      </c>
      <c r="E60">
        <v>17.977164212028981</v>
      </c>
      <c r="F60">
        <v>-20206230.807064489</v>
      </c>
      <c r="G60">
        <v>17.699230419500324</v>
      </c>
      <c r="H60" s="6">
        <v>3.95E-2</v>
      </c>
      <c r="I60">
        <f t="shared" si="0"/>
        <v>-3.2314546070750607</v>
      </c>
    </row>
    <row r="61" spans="1:9" x14ac:dyDescent="0.2">
      <c r="A61" s="1">
        <v>40483</v>
      </c>
      <c r="B61" s="2">
        <v>5.5693118049999997E-2</v>
      </c>
      <c r="C61">
        <v>12.376773315619229</v>
      </c>
      <c r="D61">
        <v>85.803237510000031</v>
      </c>
      <c r="E61">
        <v>17.982859154139373</v>
      </c>
      <c r="F61">
        <v>-20380590.815921824</v>
      </c>
      <c r="G61">
        <v>17.74380085619843</v>
      </c>
      <c r="H61" s="6">
        <v>0.05</v>
      </c>
      <c r="I61">
        <f t="shared" si="0"/>
        <v>-2.9957322735539909</v>
      </c>
    </row>
    <row r="62" spans="1:9" x14ac:dyDescent="0.2">
      <c r="A62" s="1">
        <v>40513</v>
      </c>
      <c r="B62" s="2">
        <v>7.1818497240000001E-2</v>
      </c>
      <c r="C62">
        <v>12.352034815835209</v>
      </c>
      <c r="D62">
        <v>20.269091219999609</v>
      </c>
      <c r="E62">
        <v>18.027990742922821</v>
      </c>
      <c r="F62">
        <v>-19033717.018390909</v>
      </c>
      <c r="G62">
        <v>17.866502634431757</v>
      </c>
      <c r="H62" s="6">
        <v>5.5E-2</v>
      </c>
      <c r="I62">
        <f t="shared" si="0"/>
        <v>-2.9004220937496661</v>
      </c>
    </row>
    <row r="63" spans="1:9" x14ac:dyDescent="0.2">
      <c r="A63" s="1">
        <v>40544</v>
      </c>
      <c r="B63" s="2">
        <v>8.3828786589999996E-2</v>
      </c>
      <c r="C63">
        <v>12.257849108173142</v>
      </c>
      <c r="D63">
        <v>127.7038087799998</v>
      </c>
      <c r="E63">
        <v>18.057008450010851</v>
      </c>
      <c r="F63">
        <v>-20395683.250634994</v>
      </c>
      <c r="G63">
        <v>17.844381348782147</v>
      </c>
      <c r="H63" s="6">
        <v>6.3826080343721975E-2</v>
      </c>
      <c r="I63">
        <f t="shared" si="0"/>
        <v>-2.7515933893433671</v>
      </c>
    </row>
    <row r="64" spans="1:9" x14ac:dyDescent="0.2">
      <c r="A64" s="1">
        <v>40575</v>
      </c>
      <c r="B64" s="2">
        <v>9.999345569000001E-2</v>
      </c>
      <c r="C64">
        <v>12.106427709229303</v>
      </c>
      <c r="D64">
        <v>166.95832671999966</v>
      </c>
      <c r="E64">
        <v>18.087594532702038</v>
      </c>
      <c r="F64">
        <v>-21398482.908853341</v>
      </c>
      <c r="G64">
        <v>17.854048864974434</v>
      </c>
      <c r="H64" s="6">
        <v>7.0188184851335794E-2</v>
      </c>
      <c r="I64">
        <f t="shared" si="0"/>
        <v>-2.6565752890766063</v>
      </c>
    </row>
    <row r="65" spans="1:10" x14ac:dyDescent="0.2">
      <c r="A65" s="1">
        <v>40603</v>
      </c>
      <c r="B65" s="2">
        <v>0.1110893486</v>
      </c>
      <c r="C65">
        <v>12.164819829052799</v>
      </c>
      <c r="D65">
        <v>-32.874232050000614</v>
      </c>
      <c r="E65">
        <v>18.097061440492478</v>
      </c>
      <c r="F65">
        <v>-20515376.437737089</v>
      </c>
      <c r="G65">
        <v>17.863861901594198</v>
      </c>
      <c r="H65" s="6">
        <v>0.1</v>
      </c>
      <c r="I65">
        <f t="shared" si="0"/>
        <v>-2.3025850929940455</v>
      </c>
    </row>
    <row r="66" spans="1:10" x14ac:dyDescent="0.2">
      <c r="A66" s="1">
        <v>40634</v>
      </c>
      <c r="B66" s="2">
        <v>0.1103272824</v>
      </c>
      <c r="C66">
        <v>12.181718078608426</v>
      </c>
      <c r="D66">
        <v>123.03096069999958</v>
      </c>
      <c r="E66">
        <v>18.120668882176044</v>
      </c>
      <c r="F66">
        <v>-22720668.638767067</v>
      </c>
      <c r="G66">
        <v>17.852882969415344</v>
      </c>
      <c r="H66" s="6">
        <v>0.10205203370553591</v>
      </c>
      <c r="I66">
        <f t="shared" si="0"/>
        <v>-2.2822724614041685</v>
      </c>
    </row>
    <row r="67" spans="1:10" x14ac:dyDescent="0.2">
      <c r="A67" s="1">
        <v>40664</v>
      </c>
      <c r="B67" s="2">
        <v>0.1127407882</v>
      </c>
      <c r="C67">
        <v>12.19684159518275</v>
      </c>
      <c r="D67">
        <v>218.27195708000102</v>
      </c>
      <c r="E67">
        <v>18.113648044822746</v>
      </c>
      <c r="F67">
        <v>-24039985.288323496</v>
      </c>
      <c r="G67">
        <v>17.864620147047404</v>
      </c>
      <c r="H67" s="6">
        <v>0.11704640663429018</v>
      </c>
      <c r="I67">
        <f t="shared" ref="I67:I130" si="1">LN(H67)</f>
        <v>-2.1451847849244832</v>
      </c>
    </row>
    <row r="68" spans="1:10" x14ac:dyDescent="0.2">
      <c r="A68" s="1">
        <v>40695</v>
      </c>
      <c r="B68" s="2">
        <v>0.112757285</v>
      </c>
      <c r="C68">
        <v>12.240512042541118</v>
      </c>
      <c r="D68">
        <v>82.45877845999928</v>
      </c>
      <c r="E68">
        <v>18.119160028250306</v>
      </c>
      <c r="F68">
        <v>-23153205.909382429</v>
      </c>
      <c r="G68">
        <v>17.908715389505147</v>
      </c>
      <c r="H68" s="6">
        <v>7.0000000000000007E-2</v>
      </c>
      <c r="I68">
        <f t="shared" si="1"/>
        <v>-2.6592600369327779</v>
      </c>
    </row>
    <row r="69" spans="1:10" x14ac:dyDescent="0.2">
      <c r="A69" s="1">
        <v>40725</v>
      </c>
      <c r="B69" s="2">
        <v>0.1118019136</v>
      </c>
      <c r="C69">
        <v>12.301681144469283</v>
      </c>
      <c r="D69">
        <v>180.05301754999846</v>
      </c>
      <c r="E69">
        <v>18.143911630147567</v>
      </c>
      <c r="F69">
        <v>-24583659.839785591</v>
      </c>
      <c r="G69">
        <v>17.919909914359319</v>
      </c>
      <c r="H69" s="6">
        <v>0.09</v>
      </c>
      <c r="I69">
        <f t="shared" si="1"/>
        <v>-2.4079456086518722</v>
      </c>
    </row>
    <row r="70" spans="1:10" x14ac:dyDescent="0.2">
      <c r="A70" s="1">
        <v>40756</v>
      </c>
      <c r="B70" s="2">
        <v>0.1043488082</v>
      </c>
      <c r="C70">
        <v>12.378632587412987</v>
      </c>
      <c r="D70">
        <v>151.97451464999972</v>
      </c>
      <c r="E70">
        <v>18.196440120028537</v>
      </c>
      <c r="F70">
        <v>-25793166.578589763</v>
      </c>
      <c r="G70">
        <v>17.958172169036363</v>
      </c>
      <c r="H70" s="6">
        <v>7.5300000000000006E-2</v>
      </c>
      <c r="I70">
        <f t="shared" si="1"/>
        <v>-2.5862751441762892</v>
      </c>
      <c r="J70" s="3"/>
    </row>
    <row r="71" spans="1:10" x14ac:dyDescent="0.2">
      <c r="A71" s="1">
        <v>40787</v>
      </c>
      <c r="B71" s="2">
        <v>9.929188203E-2</v>
      </c>
      <c r="C71">
        <v>12.446613462989275</v>
      </c>
      <c r="D71">
        <v>160.85325779000073</v>
      </c>
      <c r="E71">
        <v>18.177002202899715</v>
      </c>
      <c r="F71">
        <v>-26182201.187240429</v>
      </c>
      <c r="G71">
        <v>17.987068174182525</v>
      </c>
      <c r="H71" s="6">
        <v>6.5000000000000002E-2</v>
      </c>
      <c r="I71">
        <f t="shared" si="1"/>
        <v>-2.7333680090865</v>
      </c>
    </row>
    <row r="72" spans="1:10" x14ac:dyDescent="0.2">
      <c r="A72" s="1">
        <v>40817</v>
      </c>
      <c r="B72" s="2">
        <v>9.1137971180000013E-2</v>
      </c>
      <c r="C72">
        <v>12.423973759250098</v>
      </c>
      <c r="D72">
        <v>69.076516340000694</v>
      </c>
      <c r="E72">
        <v>18.219436302574653</v>
      </c>
      <c r="F72">
        <v>-26496707.457077902</v>
      </c>
      <c r="G72">
        <v>18.004959442615348</v>
      </c>
      <c r="H72" s="6">
        <v>0.06</v>
      </c>
      <c r="I72">
        <f t="shared" si="1"/>
        <v>-2.8134107167600364</v>
      </c>
    </row>
    <row r="73" spans="1:10" x14ac:dyDescent="0.2">
      <c r="A73" s="1">
        <v>40848</v>
      </c>
      <c r="B73" s="2">
        <v>8.2596172329999995E-2</v>
      </c>
      <c r="C73">
        <v>12.407422837355101</v>
      </c>
      <c r="D73">
        <v>17.515320329999099</v>
      </c>
      <c r="E73">
        <v>18.235640801262029</v>
      </c>
      <c r="F73">
        <v>-25953885.438838132</v>
      </c>
      <c r="G73">
        <v>18.040167391945051</v>
      </c>
      <c r="H73" s="6">
        <v>5.6900000000000006E-2</v>
      </c>
      <c r="I73">
        <f t="shared" si="1"/>
        <v>-2.8664599378498519</v>
      </c>
    </row>
    <row r="74" spans="1:10" x14ac:dyDescent="0.2">
      <c r="A74" s="1">
        <v>40878</v>
      </c>
      <c r="B74" s="2">
        <v>6.9035419350000002E-2</v>
      </c>
      <c r="C74">
        <v>12.424439044400012</v>
      </c>
      <c r="D74">
        <v>14.512432079999144</v>
      </c>
      <c r="E74">
        <v>18.227669133738324</v>
      </c>
      <c r="F74">
        <v>-23173066.22482226</v>
      </c>
      <c r="G74">
        <v>18.109877617506232</v>
      </c>
      <c r="H74" s="6">
        <v>5.3499999999999999E-2</v>
      </c>
      <c r="I74">
        <f t="shared" si="1"/>
        <v>-2.928073625080176</v>
      </c>
    </row>
    <row r="75" spans="1:10" x14ac:dyDescent="0.2">
      <c r="A75" s="1">
        <v>40909</v>
      </c>
      <c r="B75" s="2">
        <v>5.8566907769999996E-2</v>
      </c>
      <c r="C75">
        <v>12.332748555439752</v>
      </c>
      <c r="D75">
        <v>35.183798489999731</v>
      </c>
      <c r="E75">
        <v>18.266061256717045</v>
      </c>
      <c r="F75">
        <v>-26541033.333452713</v>
      </c>
      <c r="G75">
        <v>18.102675335574002</v>
      </c>
      <c r="H75" s="6">
        <v>5.2000000000000005E-2</v>
      </c>
      <c r="I75">
        <f t="shared" si="1"/>
        <v>-2.9565115604007097</v>
      </c>
      <c r="J75" s="3"/>
    </row>
    <row r="76" spans="1:10" x14ac:dyDescent="0.2">
      <c r="A76" s="1">
        <v>40940</v>
      </c>
      <c r="B76" s="2">
        <v>4.6432361379999995E-2</v>
      </c>
      <c r="C76">
        <v>12.110851936723201</v>
      </c>
      <c r="D76">
        <v>116.7918492600005</v>
      </c>
      <c r="E76">
        <v>18.285895454140501</v>
      </c>
      <c r="F76">
        <v>-27446881.256784026</v>
      </c>
      <c r="G76">
        <v>18.114999066062985</v>
      </c>
      <c r="H76" s="6">
        <v>0.05</v>
      </c>
      <c r="I76">
        <f t="shared" si="1"/>
        <v>-2.9957322735539909</v>
      </c>
    </row>
    <row r="77" spans="1:10" x14ac:dyDescent="0.2">
      <c r="A77" s="1">
        <v>40969</v>
      </c>
      <c r="B77" s="2">
        <v>4.0260566960000001E-2</v>
      </c>
      <c r="C77">
        <v>12.294295588277514</v>
      </c>
      <c r="D77">
        <v>163.41340808000007</v>
      </c>
      <c r="E77">
        <v>18.286486549570718</v>
      </c>
      <c r="F77">
        <v>-27543760.440351926</v>
      </c>
      <c r="G77">
        <v>18.139969764186645</v>
      </c>
      <c r="H77" s="6">
        <v>5.2699999999999997E-2</v>
      </c>
      <c r="I77">
        <f t="shared" si="1"/>
        <v>-2.9431398234348203</v>
      </c>
    </row>
    <row r="78" spans="1:10" x14ac:dyDescent="0.2">
      <c r="A78" s="1">
        <v>41000</v>
      </c>
      <c r="B78" s="2">
        <v>4.1655535029999996E-2</v>
      </c>
      <c r="C78">
        <v>12.22708111413486</v>
      </c>
      <c r="D78">
        <v>325.21827146000146</v>
      </c>
      <c r="E78">
        <v>18.272779389416396</v>
      </c>
      <c r="F78">
        <v>-28166397.392738622</v>
      </c>
      <c r="G78">
        <v>18.145116994529385</v>
      </c>
      <c r="H78" s="6">
        <v>5.1500000000000004E-2</v>
      </c>
      <c r="I78">
        <f t="shared" si="1"/>
        <v>-2.9661734713124464</v>
      </c>
    </row>
    <row r="79" spans="1:10" x14ac:dyDescent="0.2">
      <c r="A79" s="1">
        <v>41030</v>
      </c>
      <c r="B79" s="2">
        <v>4.4679122809999999E-2</v>
      </c>
      <c r="C79">
        <v>12.358501372218155</v>
      </c>
      <c r="D79">
        <v>246.63817590000031</v>
      </c>
      <c r="E79">
        <v>18.260677201065242</v>
      </c>
      <c r="F79">
        <v>-29605296.717039801</v>
      </c>
      <c r="G79">
        <v>18.165940178877797</v>
      </c>
      <c r="H79" s="6">
        <v>5.2499999999999998E-2</v>
      </c>
      <c r="I79">
        <f t="shared" si="1"/>
        <v>-2.9469421093845591</v>
      </c>
    </row>
    <row r="80" spans="1:10" x14ac:dyDescent="0.2">
      <c r="A80" s="1">
        <v>41061</v>
      </c>
      <c r="B80" s="2">
        <v>4.5415142599999993E-2</v>
      </c>
      <c r="C80">
        <v>12.238540416500033</v>
      </c>
      <c r="D80">
        <v>395.38699129000076</v>
      </c>
      <c r="E80">
        <v>18.262115705504542</v>
      </c>
      <c r="F80">
        <v>-29131072.705202684</v>
      </c>
      <c r="G80">
        <v>18.196778506181968</v>
      </c>
      <c r="H80" s="6">
        <v>0.05</v>
      </c>
      <c r="I80">
        <f t="shared" si="1"/>
        <v>-2.9957322735539909</v>
      </c>
    </row>
    <row r="81" spans="1:9" x14ac:dyDescent="0.2">
      <c r="A81" s="1">
        <v>41091</v>
      </c>
      <c r="B81" s="2">
        <v>4.3867806070000001E-2</v>
      </c>
      <c r="C81">
        <v>12.388788874430846</v>
      </c>
      <c r="D81">
        <v>274.07736730999818</v>
      </c>
      <c r="E81">
        <v>18.286591378795862</v>
      </c>
      <c r="F81">
        <v>-31072632.893457986</v>
      </c>
      <c r="G81">
        <v>18.200246715911298</v>
      </c>
      <c r="H81" s="6">
        <v>5.2699999999999997E-2</v>
      </c>
      <c r="I81">
        <f t="shared" si="1"/>
        <v>-2.9431398234348203</v>
      </c>
    </row>
    <row r="82" spans="1:9" x14ac:dyDescent="0.2">
      <c r="A82" s="1">
        <v>41122</v>
      </c>
      <c r="B82" s="2">
        <v>4.3606030029999993E-2</v>
      </c>
      <c r="C82">
        <v>12.451828989571487</v>
      </c>
      <c r="D82">
        <v>323.35131329000262</v>
      </c>
      <c r="E82">
        <v>18.311055354048602</v>
      </c>
      <c r="F82">
        <v>-32641457.860811513</v>
      </c>
      <c r="G82">
        <v>18.220785577480541</v>
      </c>
      <c r="H82" s="6">
        <v>5.1500000000000004E-2</v>
      </c>
      <c r="I82">
        <f t="shared" si="1"/>
        <v>-2.9661734713124464</v>
      </c>
    </row>
    <row r="83" spans="1:9" x14ac:dyDescent="0.2">
      <c r="A83" s="1">
        <v>41153</v>
      </c>
      <c r="B83" s="2">
        <v>4.4315982600000005E-2</v>
      </c>
      <c r="C83">
        <v>12.358307262309046</v>
      </c>
      <c r="D83">
        <v>539.78536827999858</v>
      </c>
      <c r="E83">
        <v>18.33790876383879</v>
      </c>
      <c r="F83">
        <v>-31624133.681827988</v>
      </c>
      <c r="G83">
        <v>18.237915083522584</v>
      </c>
      <c r="H83" s="6">
        <v>0.05</v>
      </c>
      <c r="I83">
        <f t="shared" si="1"/>
        <v>-2.9957322735539909</v>
      </c>
    </row>
    <row r="84" spans="1:9" x14ac:dyDescent="0.2">
      <c r="A84" s="1">
        <v>41183</v>
      </c>
      <c r="B84" s="2">
        <v>4.3365253229999998E-2</v>
      </c>
      <c r="C84">
        <v>12.474992490532113</v>
      </c>
      <c r="D84">
        <v>332.45090008999955</v>
      </c>
      <c r="E84">
        <v>18.363837524204904</v>
      </c>
      <c r="F84">
        <v>-35032581.714718997</v>
      </c>
      <c r="G84">
        <v>18.254234684031623</v>
      </c>
      <c r="H84" s="6">
        <v>0.05</v>
      </c>
      <c r="I84">
        <f t="shared" si="1"/>
        <v>-2.9957322735539909</v>
      </c>
    </row>
    <row r="85" spans="1:9" x14ac:dyDescent="0.2">
      <c r="A85" s="1">
        <v>41214</v>
      </c>
      <c r="B85" s="2">
        <v>4.4943521149999999E-2</v>
      </c>
      <c r="C85">
        <v>12.372670903243096</v>
      </c>
      <c r="D85">
        <v>331.09619080999869</v>
      </c>
      <c r="E85">
        <v>18.374960712358966</v>
      </c>
      <c r="F85">
        <v>-34484140.436760709</v>
      </c>
      <c r="G85">
        <v>18.285050389744448</v>
      </c>
      <c r="H85" s="6">
        <v>5.2499999999999998E-2</v>
      </c>
      <c r="I85">
        <f t="shared" si="1"/>
        <v>-2.9469421093845591</v>
      </c>
    </row>
    <row r="86" spans="1:9" x14ac:dyDescent="0.2">
      <c r="A86" s="1">
        <v>41244</v>
      </c>
      <c r="B86" s="2">
        <v>4.5401121839999996E-2</v>
      </c>
      <c r="C86">
        <v>12.342913717618258</v>
      </c>
      <c r="D86">
        <v>317.65307161000112</v>
      </c>
      <c r="E86">
        <v>18.375027331004365</v>
      </c>
      <c r="F86">
        <v>-29315840.06477908</v>
      </c>
      <c r="G86">
        <v>18.368426412632903</v>
      </c>
      <c r="H86" s="6">
        <v>0.05</v>
      </c>
      <c r="I86">
        <f t="shared" si="1"/>
        <v>-2.9957322735539909</v>
      </c>
    </row>
    <row r="87" spans="1:9" x14ac:dyDescent="0.2">
      <c r="A87" s="1">
        <v>41275</v>
      </c>
      <c r="B87" s="2">
        <v>4.919568127E-2</v>
      </c>
      <c r="C87">
        <v>12.415174836730948</v>
      </c>
      <c r="D87">
        <v>348.63317703000018</v>
      </c>
      <c r="E87">
        <v>18.38376893070194</v>
      </c>
      <c r="F87">
        <v>-31541942.457583632</v>
      </c>
      <c r="G87">
        <v>18.345411054599001</v>
      </c>
      <c r="H87" s="6">
        <v>0.05</v>
      </c>
      <c r="I87">
        <f t="shared" si="1"/>
        <v>-2.9957322735539909</v>
      </c>
    </row>
    <row r="88" spans="1:9" x14ac:dyDescent="0.2">
      <c r="A88" s="1">
        <v>41306</v>
      </c>
      <c r="B88" s="2">
        <v>5.0809305860000001E-2</v>
      </c>
      <c r="C88">
        <v>12.219222555237669</v>
      </c>
      <c r="D88">
        <v>205.53177855000001</v>
      </c>
      <c r="E88">
        <v>18.387436660479498</v>
      </c>
      <c r="F88">
        <v>-33255567.942846306</v>
      </c>
      <c r="G88">
        <v>18.348958665645242</v>
      </c>
      <c r="H88" s="6">
        <v>0.05</v>
      </c>
      <c r="I88">
        <f t="shared" si="1"/>
        <v>-2.9957322735539909</v>
      </c>
    </row>
    <row r="89" spans="1:9" x14ac:dyDescent="0.2">
      <c r="A89" s="1">
        <v>41334</v>
      </c>
      <c r="B89" s="2">
        <v>5.036993159E-2</v>
      </c>
      <c r="C89">
        <v>12.310058446700889</v>
      </c>
      <c r="D89">
        <v>301.41422883999985</v>
      </c>
      <c r="E89">
        <v>18.393591765757208</v>
      </c>
      <c r="F89">
        <v>-34246472.31551218</v>
      </c>
      <c r="G89">
        <v>18.356037118102872</v>
      </c>
      <c r="H89" s="6">
        <v>5.0499999999999996E-2</v>
      </c>
      <c r="I89">
        <f t="shared" si="1"/>
        <v>-2.985781942700823</v>
      </c>
    </row>
    <row r="90" spans="1:9" x14ac:dyDescent="0.2">
      <c r="A90" s="1">
        <v>41365</v>
      </c>
      <c r="B90" s="2">
        <v>4.947056155E-2</v>
      </c>
      <c r="C90">
        <v>12.294197481560811</v>
      </c>
      <c r="D90">
        <v>233.3145209700001</v>
      </c>
      <c r="E90">
        <v>18.394900887356737</v>
      </c>
      <c r="F90">
        <v>-36347891.509988785</v>
      </c>
      <c r="G90">
        <v>18.357113564566856</v>
      </c>
      <c r="H90" s="6">
        <v>5.2000000000000005E-2</v>
      </c>
      <c r="I90">
        <f t="shared" si="1"/>
        <v>-2.9565115604007097</v>
      </c>
    </row>
    <row r="91" spans="1:9" x14ac:dyDescent="0.2">
      <c r="A91" s="1">
        <v>41395</v>
      </c>
      <c r="B91" s="2">
        <v>4.7188485350000003E-2</v>
      </c>
      <c r="C91">
        <v>12.42582866563391</v>
      </c>
      <c r="D91">
        <v>209.38427363000017</v>
      </c>
      <c r="E91">
        <v>18.380820129361116</v>
      </c>
      <c r="F91">
        <v>-36985881.54332412</v>
      </c>
      <c r="G91">
        <v>18.370787963574394</v>
      </c>
      <c r="H91" s="6">
        <v>0.05</v>
      </c>
      <c r="I91">
        <f t="shared" si="1"/>
        <v>-2.9957322735539909</v>
      </c>
    </row>
    <row r="92" spans="1:9" x14ac:dyDescent="0.2">
      <c r="A92" s="1">
        <v>41426</v>
      </c>
      <c r="B92" s="2">
        <v>4.8139494730000003E-2</v>
      </c>
      <c r="C92">
        <v>12.329053792013331</v>
      </c>
      <c r="D92">
        <v>377.46202180000012</v>
      </c>
      <c r="E92">
        <v>18.376819573080486</v>
      </c>
      <c r="F92">
        <v>-35653628.517633736</v>
      </c>
      <c r="G92">
        <v>18.402273903969196</v>
      </c>
      <c r="H92" s="6">
        <v>5.1500000000000004E-2</v>
      </c>
      <c r="I92">
        <f t="shared" si="1"/>
        <v>-2.9661734713124464</v>
      </c>
    </row>
    <row r="93" spans="1:9" x14ac:dyDescent="0.2">
      <c r="A93" s="1">
        <v>41456</v>
      </c>
      <c r="B93" s="2">
        <v>5.0524922520000001E-2</v>
      </c>
      <c r="C93">
        <v>12.558780440730045</v>
      </c>
      <c r="D93">
        <v>262.7671370500002</v>
      </c>
      <c r="E93">
        <v>18.402220829085163</v>
      </c>
      <c r="F93">
        <v>-37909190.046343148</v>
      </c>
      <c r="G93">
        <v>18.408243471691627</v>
      </c>
      <c r="H93" s="6">
        <v>5.0999999999999997E-2</v>
      </c>
      <c r="I93">
        <f t="shared" si="1"/>
        <v>-2.9759296462578115</v>
      </c>
    </row>
    <row r="94" spans="1:9" x14ac:dyDescent="0.2">
      <c r="A94" s="1">
        <v>41487</v>
      </c>
      <c r="B94" s="2">
        <v>6.0830881889999994E-2</v>
      </c>
      <c r="C94">
        <v>12.531336408382526</v>
      </c>
      <c r="D94">
        <v>179.26171366999995</v>
      </c>
      <c r="E94">
        <v>18.408535905553283</v>
      </c>
      <c r="F94">
        <v>-41299918.696498387</v>
      </c>
      <c r="G94">
        <v>18.424409106197523</v>
      </c>
      <c r="H94" s="6">
        <v>5.28E-2</v>
      </c>
      <c r="I94">
        <f t="shared" si="1"/>
        <v>-2.9412440882699213</v>
      </c>
    </row>
    <row r="95" spans="1:9" x14ac:dyDescent="0.2">
      <c r="A95" s="1">
        <v>41518</v>
      </c>
      <c r="B95" s="2">
        <v>7.1263306469999996E-2</v>
      </c>
      <c r="C95">
        <v>12.541454144656321</v>
      </c>
      <c r="D95">
        <v>251.35846372999993</v>
      </c>
      <c r="E95">
        <v>18.416576433279733</v>
      </c>
      <c r="F95">
        <v>-41345434.098601684</v>
      </c>
      <c r="G95">
        <v>18.438068880868588</v>
      </c>
      <c r="H95" s="6">
        <v>0.06</v>
      </c>
      <c r="I95">
        <f t="shared" si="1"/>
        <v>-2.8134107167600364</v>
      </c>
    </row>
    <row r="96" spans="1:9" x14ac:dyDescent="0.2">
      <c r="A96" s="1">
        <v>41548</v>
      </c>
      <c r="B96" s="2">
        <v>7.501402989E-2</v>
      </c>
      <c r="C96">
        <v>12.63601362729537</v>
      </c>
      <c r="D96">
        <v>210.2649651800001</v>
      </c>
      <c r="E96">
        <v>18.397973270802758</v>
      </c>
      <c r="F96">
        <v>-41671917.323780075</v>
      </c>
      <c r="G96">
        <v>18.460985327354965</v>
      </c>
      <c r="H96" s="6">
        <v>6.5000000000000002E-2</v>
      </c>
      <c r="I96">
        <f t="shared" si="1"/>
        <v>-2.7333680090865</v>
      </c>
    </row>
    <row r="97" spans="1:21" x14ac:dyDescent="0.2">
      <c r="A97" s="1">
        <v>41579</v>
      </c>
      <c r="B97" s="2">
        <v>6.9606618979999993E-2</v>
      </c>
      <c r="C97">
        <v>12.546329390428872</v>
      </c>
      <c r="D97">
        <v>121.99257106000016</v>
      </c>
      <c r="E97">
        <v>18.396441691195019</v>
      </c>
      <c r="F97">
        <v>-41205002.824314818</v>
      </c>
      <c r="G97">
        <v>18.469571124800414</v>
      </c>
      <c r="H97" s="6">
        <v>6.5000000000000002E-2</v>
      </c>
      <c r="I97">
        <f t="shared" si="1"/>
        <v>-2.7333680090865</v>
      </c>
    </row>
    <row r="98" spans="1:21" x14ac:dyDescent="0.2">
      <c r="A98" s="1">
        <v>41609</v>
      </c>
      <c r="B98" s="2">
        <v>6.4796832669999999E-2</v>
      </c>
      <c r="C98">
        <v>12.623449657698055</v>
      </c>
      <c r="D98">
        <v>-28.815261480000117</v>
      </c>
      <c r="E98">
        <v>18.410537391106406</v>
      </c>
      <c r="F98">
        <v>-33813097.812691644</v>
      </c>
      <c r="G98">
        <v>18.558935905853165</v>
      </c>
      <c r="H98" s="6">
        <v>6.5000000000000002E-2</v>
      </c>
      <c r="I98">
        <f t="shared" si="1"/>
        <v>-2.7333680090865</v>
      </c>
    </row>
    <row r="99" spans="1:21" x14ac:dyDescent="0.2">
      <c r="A99" s="1">
        <v>41640</v>
      </c>
      <c r="B99" s="2">
        <v>6.0510992809999997E-2</v>
      </c>
      <c r="C99">
        <v>12.425109335220945</v>
      </c>
      <c r="D99">
        <v>177.25637954000103</v>
      </c>
      <c r="E99">
        <v>18.416704513804277</v>
      </c>
      <c r="F99">
        <v>-35379873.657794498</v>
      </c>
      <c r="G99">
        <v>18.537109863537264</v>
      </c>
      <c r="H99" s="6">
        <v>6.2800000000000009E-2</v>
      </c>
      <c r="I99">
        <f t="shared" si="1"/>
        <v>-2.7678002055079838</v>
      </c>
    </row>
    <row r="100" spans="1:21" x14ac:dyDescent="0.2">
      <c r="A100" s="1">
        <v>41671</v>
      </c>
      <c r="B100" s="2">
        <v>6.1650230429999994E-2</v>
      </c>
      <c r="C100">
        <v>12.308276870338489</v>
      </c>
      <c r="D100">
        <v>201.02729909999778</v>
      </c>
      <c r="E100">
        <v>18.419337729366948</v>
      </c>
      <c r="F100">
        <v>-35909120.431382149</v>
      </c>
      <c r="G100">
        <v>18.532109865675569</v>
      </c>
      <c r="H100" s="6">
        <v>0.06</v>
      </c>
      <c r="I100">
        <f t="shared" si="1"/>
        <v>-2.8134107167600364</v>
      </c>
    </row>
    <row r="101" spans="1:21" x14ac:dyDescent="0.2">
      <c r="A101" s="1">
        <v>41699</v>
      </c>
      <c r="B101" s="2">
        <v>6.1238758879999994E-2</v>
      </c>
      <c r="C101">
        <v>12.30542749824218</v>
      </c>
      <c r="D101">
        <v>398.16851393000059</v>
      </c>
      <c r="E101">
        <v>18.414715137161448</v>
      </c>
      <c r="F101">
        <v>-37354259.685190022</v>
      </c>
      <c r="G101">
        <v>18.534985070473713</v>
      </c>
      <c r="H101" s="6">
        <v>5.9000000000000004E-2</v>
      </c>
      <c r="I101">
        <f t="shared" si="1"/>
        <v>-2.8302178350764176</v>
      </c>
    </row>
    <row r="102" spans="1:21" x14ac:dyDescent="0.2">
      <c r="A102" s="1">
        <v>41730</v>
      </c>
      <c r="B102" s="2">
        <v>6.220117956E-2</v>
      </c>
      <c r="C102">
        <v>12.454254739837836</v>
      </c>
      <c r="D102">
        <v>247.87742401000025</v>
      </c>
      <c r="E102">
        <v>18.417641710335218</v>
      </c>
      <c r="F102">
        <v>-38644746.607878737</v>
      </c>
      <c r="G102">
        <v>18.54250216837054</v>
      </c>
      <c r="H102" s="6">
        <v>5.8299999999999998E-2</v>
      </c>
      <c r="I102">
        <f t="shared" si="1"/>
        <v>-2.8421531856256905</v>
      </c>
    </row>
    <row r="103" spans="1:21" x14ac:dyDescent="0.2">
      <c r="A103" s="1">
        <v>41760</v>
      </c>
      <c r="B103" s="2">
        <v>6.3769027339999992E-2</v>
      </c>
      <c r="C103">
        <v>12.45752979695898</v>
      </c>
      <c r="D103">
        <v>412.64338333000092</v>
      </c>
      <c r="E103">
        <v>18.41816875996788</v>
      </c>
      <c r="F103">
        <v>-39922868.134744726</v>
      </c>
      <c r="G103">
        <v>18.544441186982421</v>
      </c>
      <c r="H103" s="6">
        <v>6.480000000000001E-2</v>
      </c>
      <c r="I103">
        <f t="shared" si="1"/>
        <v>-2.7364496756239078</v>
      </c>
    </row>
    <row r="104" spans="1:21" x14ac:dyDescent="0.2">
      <c r="A104" s="1">
        <v>41791</v>
      </c>
      <c r="B104" s="2">
        <v>7.3345643779999997E-2</v>
      </c>
      <c r="C104">
        <v>12.386684950718855</v>
      </c>
      <c r="D104">
        <v>391.70754672000101</v>
      </c>
      <c r="E104">
        <v>18.436443054390306</v>
      </c>
      <c r="F104">
        <v>-39064965.928607702</v>
      </c>
      <c r="G104">
        <v>18.564387806286405</v>
      </c>
      <c r="H104" s="6">
        <v>6.3500000000000001E-2</v>
      </c>
      <c r="I104">
        <f t="shared" si="1"/>
        <v>-2.756715373083491</v>
      </c>
    </row>
    <row r="105" spans="1:21" x14ac:dyDescent="0.2">
      <c r="A105" s="1">
        <v>41821</v>
      </c>
      <c r="B105" s="2">
        <v>7.4657543879999996E-2</v>
      </c>
      <c r="C105">
        <v>12.632882005745603</v>
      </c>
      <c r="D105">
        <v>220.85049344999902</v>
      </c>
      <c r="E105">
        <v>18.440791229001874</v>
      </c>
      <c r="F105">
        <v>-41939025.653691001</v>
      </c>
      <c r="G105">
        <v>18.562334552931166</v>
      </c>
      <c r="H105" s="6">
        <v>0.06</v>
      </c>
      <c r="I105">
        <f t="shared" si="1"/>
        <v>-2.8134107167600364</v>
      </c>
    </row>
    <row r="106" spans="1:21" x14ac:dyDescent="0.2">
      <c r="A106" s="1">
        <v>41852</v>
      </c>
      <c r="B106" s="2">
        <v>6.114036984E-2</v>
      </c>
      <c r="C106">
        <v>12.571774608061853</v>
      </c>
      <c r="D106">
        <v>198.22366324999939</v>
      </c>
      <c r="E106">
        <v>18.47527202406437</v>
      </c>
      <c r="F106">
        <v>-44207526.102950044</v>
      </c>
      <c r="G106">
        <v>18.575433223717397</v>
      </c>
      <c r="H106" s="6">
        <v>6.4899999999999999E-2</v>
      </c>
      <c r="I106">
        <f t="shared" si="1"/>
        <v>-2.7349076552720928</v>
      </c>
    </row>
    <row r="107" spans="1:21" x14ac:dyDescent="0.2">
      <c r="A107" s="1">
        <v>41883</v>
      </c>
      <c r="B107" s="2">
        <v>4.297363522E-2</v>
      </c>
      <c r="C107">
        <v>12.680021139804127</v>
      </c>
      <c r="D107">
        <v>141.4910436200006</v>
      </c>
      <c r="E107">
        <v>18.467229464981799</v>
      </c>
      <c r="F107">
        <v>-42349181.198990591</v>
      </c>
      <c r="G107">
        <v>18.606388617145566</v>
      </c>
      <c r="H107" s="6">
        <v>6.1600000000000002E-2</v>
      </c>
      <c r="I107">
        <f t="shared" si="1"/>
        <v>-2.7870934084426628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2">
      <c r="A108" s="1">
        <v>41913</v>
      </c>
      <c r="B108" s="2">
        <v>3.6387100540000002E-2</v>
      </c>
      <c r="C108">
        <v>12.730570911270231</v>
      </c>
      <c r="D108">
        <v>-59.995062480000684</v>
      </c>
      <c r="E108">
        <v>18.47472351336198</v>
      </c>
      <c r="F108">
        <v>-40838065.709731817</v>
      </c>
      <c r="G108">
        <v>18.627430255359076</v>
      </c>
      <c r="H108" s="6">
        <v>0.06</v>
      </c>
      <c r="I108">
        <f t="shared" si="1"/>
        <v>-2.8134107167600364</v>
      </c>
    </row>
    <row r="109" spans="1:21" x14ac:dyDescent="0.2">
      <c r="A109" s="1">
        <v>41944</v>
      </c>
      <c r="B109" s="2">
        <v>4.4063124330000002E-2</v>
      </c>
      <c r="C109">
        <v>12.570479828510868</v>
      </c>
      <c r="D109">
        <v>39.6230558099993</v>
      </c>
      <c r="E109">
        <v>18.480598722113605</v>
      </c>
      <c r="F109">
        <v>-40093649.966347881</v>
      </c>
      <c r="G109">
        <v>18.650664440219256</v>
      </c>
      <c r="H109" s="6">
        <v>5.4000000000000006E-2</v>
      </c>
      <c r="I109">
        <f t="shared" si="1"/>
        <v>-2.9187712324178627</v>
      </c>
    </row>
    <row r="110" spans="1:21" x14ac:dyDescent="0.2">
      <c r="A110" s="1">
        <v>41974</v>
      </c>
      <c r="B110" s="2">
        <v>5.1942476439999996E-2</v>
      </c>
      <c r="C110">
        <v>12.640691554784159</v>
      </c>
      <c r="D110">
        <v>-8.7544109999995499</v>
      </c>
      <c r="E110">
        <v>18.457424323501478</v>
      </c>
      <c r="F110">
        <v>-29328915.759721372</v>
      </c>
      <c r="G110">
        <v>18.732438105454445</v>
      </c>
      <c r="H110" s="6">
        <v>5.5999999999999994E-2</v>
      </c>
      <c r="I110">
        <f t="shared" si="1"/>
        <v>-2.8824035882469881</v>
      </c>
    </row>
    <row r="111" spans="1:21" x14ac:dyDescent="0.2">
      <c r="A111" s="1">
        <v>42005</v>
      </c>
      <c r="B111" s="2">
        <v>5.9367302420000004E-2</v>
      </c>
      <c r="C111">
        <v>12.525169478905026</v>
      </c>
      <c r="D111">
        <v>34.926389170000903</v>
      </c>
      <c r="E111">
        <v>18.45506218954219</v>
      </c>
      <c r="F111">
        <v>-31461852.360015273</v>
      </c>
      <c r="G111">
        <v>18.70892087298148</v>
      </c>
      <c r="H111" s="6">
        <v>5.9500000000000004E-2</v>
      </c>
      <c r="I111">
        <f t="shared" si="1"/>
        <v>-2.821778966430553</v>
      </c>
    </row>
    <row r="112" spans="1:21" x14ac:dyDescent="0.2">
      <c r="A112" s="1">
        <v>42036</v>
      </c>
      <c r="B112" s="2">
        <v>5.4930446240000007E-2</v>
      </c>
      <c r="C112">
        <v>12.271350799322065</v>
      </c>
      <c r="D112">
        <v>-76.448744830000351</v>
      </c>
      <c r="E112">
        <v>18.458790227109862</v>
      </c>
      <c r="F112">
        <v>-31891980.87247932</v>
      </c>
      <c r="G112">
        <v>18.70288521869033</v>
      </c>
      <c r="H112" s="6">
        <v>5.7500000000000002E-2</v>
      </c>
      <c r="I112">
        <f t="shared" si="1"/>
        <v>-2.855970331178832</v>
      </c>
    </row>
    <row r="113" spans="1:9" x14ac:dyDescent="0.2">
      <c r="A113" s="1">
        <v>42064</v>
      </c>
      <c r="B113" s="2">
        <v>4.754512206E-2</v>
      </c>
      <c r="C113">
        <v>12.473928687161914</v>
      </c>
      <c r="D113">
        <v>-61.761830099999315</v>
      </c>
      <c r="E113">
        <v>18.447101363654024</v>
      </c>
      <c r="F113">
        <v>-31100461.763368092</v>
      </c>
      <c r="G113">
        <v>18.694794454281819</v>
      </c>
      <c r="H113" s="6">
        <v>5.7300000000000004E-2</v>
      </c>
      <c r="I113">
        <f t="shared" si="1"/>
        <v>-2.8594546552614433</v>
      </c>
    </row>
    <row r="114" spans="1:9" x14ac:dyDescent="0.2">
      <c r="A114" s="1">
        <v>42095</v>
      </c>
      <c r="B114" s="2">
        <v>4.1408702419999999E-2</v>
      </c>
      <c r="C114">
        <v>12.476584131076494</v>
      </c>
      <c r="D114">
        <v>7.7111853400001564</v>
      </c>
      <c r="E114">
        <v>18.438609859899962</v>
      </c>
      <c r="F114">
        <v>-33126363.105549008</v>
      </c>
      <c r="G114">
        <v>18.69544710049497</v>
      </c>
      <c r="H114" s="6">
        <v>5.5999999999999994E-2</v>
      </c>
      <c r="I114">
        <f t="shared" si="1"/>
        <v>-2.8824035882469881</v>
      </c>
    </row>
    <row r="115" spans="1:9" x14ac:dyDescent="0.2">
      <c r="A115" s="1">
        <v>42125</v>
      </c>
      <c r="B115" s="2">
        <v>4.0844195780000002E-2</v>
      </c>
      <c r="C115">
        <v>12.463031674149105</v>
      </c>
      <c r="D115">
        <v>27.070509209998363</v>
      </c>
      <c r="E115">
        <v>18.425499725556588</v>
      </c>
      <c r="F115">
        <v>-31763446.206964374</v>
      </c>
      <c r="G115">
        <v>18.720085296106475</v>
      </c>
      <c r="H115" s="6">
        <v>5.2000000000000005E-2</v>
      </c>
      <c r="I115">
        <f t="shared" si="1"/>
        <v>-2.9565115604007097</v>
      </c>
    </row>
    <row r="116" spans="1:9" x14ac:dyDescent="0.2">
      <c r="A116" s="1">
        <v>42156</v>
      </c>
      <c r="B116" s="2">
        <v>3.1937153180000004E-2</v>
      </c>
      <c r="C116">
        <v>12.458751969694539</v>
      </c>
      <c r="D116">
        <v>35.247685890000412</v>
      </c>
      <c r="E116">
        <v>18.429605376806521</v>
      </c>
      <c r="F116">
        <v>-31746886.380987838</v>
      </c>
      <c r="G116">
        <v>18.746661452696777</v>
      </c>
      <c r="H116" s="6">
        <v>5.7000000000000002E-2</v>
      </c>
      <c r="I116">
        <f t="shared" si="1"/>
        <v>-2.864704011147587</v>
      </c>
    </row>
    <row r="117" spans="1:9" x14ac:dyDescent="0.2">
      <c r="A117" s="1">
        <v>42186</v>
      </c>
      <c r="B117" s="2">
        <v>3.0621844120000002E-2</v>
      </c>
      <c r="C117">
        <v>12.51651682199773</v>
      </c>
      <c r="D117">
        <v>-92.045022050000057</v>
      </c>
      <c r="E117">
        <v>18.414405972485142</v>
      </c>
      <c r="F117">
        <v>-33903953.379198723</v>
      </c>
      <c r="G117">
        <v>18.740625073338926</v>
      </c>
      <c r="H117" s="6">
        <v>5.0300000000000004E-2</v>
      </c>
      <c r="I117">
        <f t="shared" si="1"/>
        <v>-2.9897502018764435</v>
      </c>
    </row>
    <row r="118" spans="1:9" x14ac:dyDescent="0.2">
      <c r="A118" s="1">
        <v>42217</v>
      </c>
      <c r="B118" s="2">
        <v>3.2030459429999998E-2</v>
      </c>
      <c r="C118">
        <v>12.593976825855249</v>
      </c>
      <c r="D118">
        <v>-36.278969380000376</v>
      </c>
      <c r="E118">
        <v>18.405153312988137</v>
      </c>
      <c r="F118">
        <v>-34604179.077711254</v>
      </c>
      <c r="G118">
        <v>18.755942610523693</v>
      </c>
      <c r="H118" s="6">
        <v>4.5499999999999999E-2</v>
      </c>
      <c r="I118">
        <f t="shared" si="1"/>
        <v>-3.0900429530252325</v>
      </c>
    </row>
    <row r="119" spans="1:9" x14ac:dyDescent="0.2">
      <c r="A119" s="1">
        <v>42248</v>
      </c>
      <c r="B119" s="2">
        <v>4.0785993899999998E-2</v>
      </c>
      <c r="C119">
        <v>12.675542132147131</v>
      </c>
      <c r="D119">
        <v>-63.419861979999155</v>
      </c>
      <c r="E119">
        <v>18.396343658351601</v>
      </c>
      <c r="F119">
        <v>-33442229.593978196</v>
      </c>
      <c r="G119">
        <v>18.773591949054094</v>
      </c>
      <c r="H119" s="6">
        <v>4.9000000000000002E-2</v>
      </c>
      <c r="I119">
        <f t="shared" si="1"/>
        <v>-3.0159349808715104</v>
      </c>
    </row>
    <row r="120" spans="1:9" x14ac:dyDescent="0.2">
      <c r="A120" s="1">
        <v>42278</v>
      </c>
      <c r="B120" s="2">
        <v>4.3233913480000004E-2</v>
      </c>
      <c r="C120">
        <v>12.749711914416048</v>
      </c>
      <c r="D120">
        <v>-191.73648944999968</v>
      </c>
      <c r="E120">
        <v>18.377926585456709</v>
      </c>
      <c r="F120">
        <v>-31437801.849881683</v>
      </c>
      <c r="G120">
        <v>18.795534104817346</v>
      </c>
      <c r="H120" s="6">
        <v>4.4999999999999998E-2</v>
      </c>
      <c r="I120">
        <f t="shared" si="1"/>
        <v>-3.1010927892118172</v>
      </c>
    </row>
    <row r="121" spans="1:9" x14ac:dyDescent="0.2">
      <c r="A121" s="1">
        <v>42309</v>
      </c>
      <c r="B121" s="2">
        <v>3.6431296209999998E-2</v>
      </c>
      <c r="C121">
        <v>12.646831053050356</v>
      </c>
      <c r="D121">
        <v>-163.74265396000067</v>
      </c>
      <c r="E121">
        <v>18.3460111603431</v>
      </c>
      <c r="F121">
        <v>-29994733.169060737</v>
      </c>
      <c r="G121">
        <v>18.809561064547164</v>
      </c>
      <c r="H121" s="6">
        <v>4.8499999999999995E-2</v>
      </c>
      <c r="I121">
        <f t="shared" si="1"/>
        <v>-3.0261914810386998</v>
      </c>
    </row>
    <row r="122" spans="1:9" x14ac:dyDescent="0.2">
      <c r="A122" s="1">
        <v>42339</v>
      </c>
      <c r="B122" s="2">
        <v>2.9531461420000002E-2</v>
      </c>
      <c r="C122">
        <v>12.754606685658731</v>
      </c>
      <c r="D122">
        <v>-339.48486599999967</v>
      </c>
      <c r="E122">
        <v>18.310458143451356</v>
      </c>
      <c r="F122">
        <v>-15862082.772082074</v>
      </c>
      <c r="G122">
        <v>18.898920072350109</v>
      </c>
      <c r="H122" s="6">
        <v>4.41E-2</v>
      </c>
      <c r="I122">
        <f t="shared" si="1"/>
        <v>-3.1212954965293367</v>
      </c>
    </row>
    <row r="123" spans="1:9" x14ac:dyDescent="0.2">
      <c r="A123" s="1">
        <v>42370</v>
      </c>
      <c r="B123" s="2">
        <v>2.3862729260000003E-2</v>
      </c>
      <c r="C123">
        <v>12.555871050174446</v>
      </c>
      <c r="D123">
        <v>-161.7807001400007</v>
      </c>
      <c r="E123">
        <v>18.292092629357491</v>
      </c>
      <c r="F123">
        <v>-20011825.010876417</v>
      </c>
      <c r="G123">
        <v>18.859768985001342</v>
      </c>
      <c r="H123" s="6">
        <v>4.8799999999999996E-2</v>
      </c>
      <c r="I123">
        <f t="shared" si="1"/>
        <v>-3.0200249661230356</v>
      </c>
    </row>
    <row r="124" spans="1:9" x14ac:dyDescent="0.2">
      <c r="A124" s="1">
        <v>42401</v>
      </c>
      <c r="B124" s="2">
        <v>2.638411915E-2</v>
      </c>
      <c r="C124">
        <v>12.351285984613636</v>
      </c>
      <c r="D124">
        <v>-103.0847220100012</v>
      </c>
      <c r="E124">
        <v>18.289676991576954</v>
      </c>
      <c r="F124">
        <v>-20263734.654778786</v>
      </c>
      <c r="G124">
        <v>18.857208979779045</v>
      </c>
      <c r="H124" s="6">
        <v>4.2500000000000003E-2</v>
      </c>
      <c r="I124">
        <f t="shared" si="1"/>
        <v>-3.158251203051766</v>
      </c>
    </row>
    <row r="125" spans="1:9" x14ac:dyDescent="0.2">
      <c r="A125" s="1">
        <v>42430</v>
      </c>
      <c r="B125" s="2">
        <v>3.2812990709999997E-2</v>
      </c>
      <c r="C125">
        <v>12.608687328366722</v>
      </c>
      <c r="D125">
        <v>-111.88367380999966</v>
      </c>
      <c r="E125">
        <v>18.265566390276643</v>
      </c>
      <c r="F125">
        <v>-19957445.178932104</v>
      </c>
      <c r="G125">
        <v>18.85583796889367</v>
      </c>
      <c r="H125" s="6">
        <v>4.2500000000000003E-2</v>
      </c>
      <c r="I125">
        <f t="shared" si="1"/>
        <v>-3.158251203051766</v>
      </c>
    </row>
    <row r="126" spans="1:9" x14ac:dyDescent="0.2">
      <c r="A126" s="1">
        <v>42461</v>
      </c>
      <c r="B126" s="2">
        <v>4.1260050860000001E-2</v>
      </c>
      <c r="C126">
        <v>12.552868534400559</v>
      </c>
      <c r="D126">
        <v>-114.52565563000007</v>
      </c>
      <c r="E126">
        <v>18.245374953942562</v>
      </c>
      <c r="F126">
        <v>-19968056.496929783</v>
      </c>
      <c r="G126">
        <v>18.865216814224897</v>
      </c>
      <c r="H126" s="6">
        <v>4.58E-2</v>
      </c>
      <c r="I126">
        <f t="shared" si="1"/>
        <v>-3.0834711878619978</v>
      </c>
    </row>
    <row r="127" spans="1:9" x14ac:dyDescent="0.2">
      <c r="A127" s="1">
        <v>42491</v>
      </c>
      <c r="B127" s="2">
        <v>5.0150907179999996E-2</v>
      </c>
      <c r="C127">
        <v>12.551279738051127</v>
      </c>
      <c r="D127">
        <v>-79.929570659999058</v>
      </c>
      <c r="E127">
        <v>18.202957998129772</v>
      </c>
      <c r="F127">
        <v>-18301957.266816635</v>
      </c>
      <c r="G127">
        <v>18.873968837173972</v>
      </c>
      <c r="H127" s="6">
        <v>5.0900000000000001E-2</v>
      </c>
      <c r="I127">
        <f t="shared" si="1"/>
        <v>-2.9778923554256598</v>
      </c>
    </row>
    <row r="128" spans="1:9" x14ac:dyDescent="0.2">
      <c r="A128" s="1">
        <v>42522</v>
      </c>
      <c r="B128" s="2">
        <v>4.1558328480000004E-2</v>
      </c>
      <c r="C128">
        <v>12.606069018997452</v>
      </c>
      <c r="D128">
        <v>-94.488983950000488</v>
      </c>
      <c r="E128">
        <v>18.192997659296935</v>
      </c>
      <c r="F128">
        <v>-16747772.520208973</v>
      </c>
      <c r="G128">
        <v>18.873316884615022</v>
      </c>
      <c r="H128" s="6">
        <v>5.45E-2</v>
      </c>
      <c r="I128">
        <f t="shared" si="1"/>
        <v>-2.9095545773129388</v>
      </c>
    </row>
    <row r="129" spans="1:16" x14ac:dyDescent="0.2">
      <c r="A129" s="1">
        <v>42552</v>
      </c>
      <c r="B129" s="2">
        <v>3.5628652640000001E-2</v>
      </c>
      <c r="C129">
        <v>12.694958480145621</v>
      </c>
      <c r="D129">
        <v>-75.366899000000217</v>
      </c>
      <c r="E129">
        <v>18.187896391580118</v>
      </c>
      <c r="F129">
        <v>-18024699.476287529</v>
      </c>
      <c r="G129">
        <v>18.873044625783866</v>
      </c>
      <c r="H129" s="6">
        <v>5.5E-2</v>
      </c>
      <c r="I129">
        <f t="shared" si="1"/>
        <v>-2.9004220937496661</v>
      </c>
      <c r="J129" s="1"/>
      <c r="K129" s="1"/>
      <c r="L129" s="1"/>
      <c r="M129" s="1"/>
      <c r="N129" s="1"/>
      <c r="O129" s="1"/>
      <c r="P129" s="1"/>
    </row>
    <row r="130" spans="1:16" x14ac:dyDescent="0.2">
      <c r="A130" s="1">
        <v>42583</v>
      </c>
      <c r="B130" s="2">
        <v>3.4863423800000001E-2</v>
      </c>
      <c r="C130">
        <v>12.720594305531392</v>
      </c>
      <c r="D130">
        <v>0.99985734999950182</v>
      </c>
      <c r="E130">
        <v>18.162344101208703</v>
      </c>
      <c r="F130">
        <v>-16663921.395537145</v>
      </c>
      <c r="G130">
        <v>18.880887621080436</v>
      </c>
      <c r="H130" s="6">
        <v>5.2499999999999998E-2</v>
      </c>
      <c r="I130">
        <f t="shared" si="1"/>
        <v>-2.9469421093845591</v>
      </c>
    </row>
    <row r="131" spans="1:16" x14ac:dyDescent="0.2">
      <c r="A131" s="1">
        <v>42614</v>
      </c>
      <c r="B131" s="2">
        <v>3.4650257820000002E-2</v>
      </c>
      <c r="C131">
        <v>12.691733149654416</v>
      </c>
      <c r="D131">
        <v>-76.733646690000569</v>
      </c>
      <c r="E131">
        <v>18.14263649079146</v>
      </c>
      <c r="F131">
        <v>-15085995.156880133</v>
      </c>
      <c r="G131">
        <v>18.888944402558327</v>
      </c>
      <c r="H131" s="6">
        <v>0.05</v>
      </c>
      <c r="I131">
        <f t="shared" ref="I131:I194" si="2">LN(H131)</f>
        <v>-2.9957322735539909</v>
      </c>
    </row>
    <row r="132" spans="1:16" x14ac:dyDescent="0.2">
      <c r="A132" s="1">
        <v>42644</v>
      </c>
      <c r="B132" s="2">
        <v>3.5005943650000003E-2</v>
      </c>
      <c r="C132">
        <v>12.703183576364138</v>
      </c>
      <c r="D132">
        <v>-40.446769309999809</v>
      </c>
      <c r="E132">
        <v>18.110927684194362</v>
      </c>
      <c r="F132">
        <v>-13282205.899796352</v>
      </c>
      <c r="G132">
        <v>18.897440699241049</v>
      </c>
      <c r="H132" s="6">
        <v>4.9000000000000002E-2</v>
      </c>
      <c r="I132">
        <f t="shared" si="2"/>
        <v>-3.0159349808715104</v>
      </c>
    </row>
    <row r="133" spans="1:16" x14ac:dyDescent="0.2">
      <c r="A133" s="1">
        <v>42675</v>
      </c>
      <c r="B133" s="2">
        <v>3.8756723749999999E-2</v>
      </c>
      <c r="C133">
        <v>12.679509966652818</v>
      </c>
      <c r="D133">
        <v>-174.17062933000068</v>
      </c>
      <c r="E133">
        <v>18.078505331785156</v>
      </c>
      <c r="F133">
        <v>-11924632.247010611</v>
      </c>
      <c r="G133">
        <v>18.901543943697668</v>
      </c>
      <c r="H133" s="6">
        <v>0.05</v>
      </c>
      <c r="I133">
        <f t="shared" si="2"/>
        <v>-2.9957322735539909</v>
      </c>
    </row>
    <row r="134" spans="1:16" x14ac:dyDescent="0.2">
      <c r="A134" s="1">
        <v>42705</v>
      </c>
      <c r="B134" s="2">
        <v>4.0029393480000001E-2</v>
      </c>
      <c r="C134">
        <v>12.675815865872455</v>
      </c>
      <c r="D134">
        <v>-273.68635725000081</v>
      </c>
      <c r="E134">
        <v>18.051866504708403</v>
      </c>
      <c r="F134">
        <v>-5321267.3923754692</v>
      </c>
      <c r="G134">
        <v>18.935349235172186</v>
      </c>
      <c r="H134" s="6">
        <v>0.05</v>
      </c>
      <c r="I134">
        <f t="shared" si="2"/>
        <v>-2.9957322735539909</v>
      </c>
    </row>
    <row r="135" spans="1:16" x14ac:dyDescent="0.2">
      <c r="A135" s="1">
        <v>42736</v>
      </c>
      <c r="B135" s="2">
        <v>3.6771456610000003E-2</v>
      </c>
      <c r="C135">
        <v>12.597852486084562</v>
      </c>
      <c r="D135">
        <v>-158.02312667999911</v>
      </c>
      <c r="E135">
        <v>18.027537382070442</v>
      </c>
      <c r="F135">
        <v>-6411555.7150389068</v>
      </c>
      <c r="G135">
        <v>18.918824902724701</v>
      </c>
      <c r="H135" s="6">
        <v>4.5999999999999999E-2</v>
      </c>
      <c r="I135">
        <f t="shared" si="2"/>
        <v>-3.0791138824930422</v>
      </c>
    </row>
    <row r="136" spans="1:16" x14ac:dyDescent="0.2">
      <c r="A136" s="1">
        <v>42767</v>
      </c>
      <c r="B136" s="2">
        <v>3.4639884910000002E-2</v>
      </c>
      <c r="C136">
        <v>12.4341449207053</v>
      </c>
      <c r="D136">
        <v>-210.60193597000119</v>
      </c>
      <c r="E136">
        <v>18.024092408952896</v>
      </c>
      <c r="F136">
        <v>-6040074.0864734612</v>
      </c>
      <c r="G136">
        <v>18.920799508156076</v>
      </c>
      <c r="H136" s="6">
        <v>4.0999999999999995E-2</v>
      </c>
      <c r="I136">
        <f t="shared" si="2"/>
        <v>-3.1941832122778293</v>
      </c>
    </row>
    <row r="137" spans="1:16" x14ac:dyDescent="0.2">
      <c r="A137" s="1">
        <v>42795</v>
      </c>
      <c r="B137" s="2">
        <v>3.3366812339999996E-2</v>
      </c>
      <c r="C137">
        <v>12.579272956576309</v>
      </c>
      <c r="D137">
        <v>-177.74777536000011</v>
      </c>
      <c r="E137">
        <v>18.069550931580309</v>
      </c>
      <c r="F137">
        <v>-12531037.347315956</v>
      </c>
      <c r="G137">
        <v>18.918728032865076</v>
      </c>
      <c r="H137" s="6">
        <v>4.3499999999999997E-2</v>
      </c>
      <c r="I137">
        <f t="shared" si="2"/>
        <v>-3.1349943408874985</v>
      </c>
    </row>
    <row r="138" spans="1:16" x14ac:dyDescent="0.2">
      <c r="A138" s="1">
        <v>42826</v>
      </c>
      <c r="B138" s="2">
        <v>2.5094903469999999E-2</v>
      </c>
      <c r="C138">
        <v>12.426536970921825</v>
      </c>
      <c r="D138">
        <v>12.962044000000446</v>
      </c>
      <c r="E138">
        <v>18.04631939479188</v>
      </c>
      <c r="F138">
        <v>-14018335.236645702</v>
      </c>
      <c r="G138">
        <v>18.911083438149841</v>
      </c>
      <c r="H138" s="6">
        <v>4.2999999999999997E-2</v>
      </c>
      <c r="I138">
        <f t="shared" si="2"/>
        <v>-3.1465551632885749</v>
      </c>
    </row>
    <row r="139" spans="1:16" x14ac:dyDescent="0.2">
      <c r="A139" s="1">
        <v>42856</v>
      </c>
      <c r="B139" s="2">
        <v>1.2542774590000002E-2</v>
      </c>
      <c r="C139">
        <v>12.563627222478329</v>
      </c>
      <c r="D139">
        <v>-90.3481782599996</v>
      </c>
      <c r="E139">
        <v>18.068854599321195</v>
      </c>
      <c r="F139">
        <v>-14471898.039667662</v>
      </c>
      <c r="G139">
        <v>18.919753817543928</v>
      </c>
      <c r="H139" s="6">
        <v>0.04</v>
      </c>
      <c r="I139">
        <f t="shared" si="2"/>
        <v>-3.2188758248682006</v>
      </c>
    </row>
    <row r="140" spans="1:16" x14ac:dyDescent="0.2">
      <c r="A140" s="1">
        <v>42887</v>
      </c>
      <c r="B140" s="2">
        <v>1.8379466269999999E-2</v>
      </c>
      <c r="C140">
        <v>12.54971599032555</v>
      </c>
      <c r="D140">
        <v>-31.476293049998617</v>
      </c>
      <c r="E140">
        <v>18.073919252387075</v>
      </c>
      <c r="F140">
        <v>-12802391.873709735</v>
      </c>
      <c r="G140">
        <v>18.942232806445126</v>
      </c>
      <c r="H140" s="6">
        <v>0.04</v>
      </c>
      <c r="I140">
        <f t="shared" si="2"/>
        <v>-3.2188758248682006</v>
      </c>
    </row>
    <row r="141" spans="1:16" x14ac:dyDescent="0.2">
      <c r="A141" s="1">
        <v>42917</v>
      </c>
      <c r="B141" s="2">
        <v>2.5686867210000002E-2</v>
      </c>
      <c r="C141">
        <v>12.631230012099003</v>
      </c>
      <c r="D141">
        <v>13.718174299998168</v>
      </c>
      <c r="E141">
        <v>18.078963134746648</v>
      </c>
      <c r="F141">
        <v>-12825424.935390361</v>
      </c>
      <c r="G141">
        <v>18.946388369374848</v>
      </c>
      <c r="H141" s="6">
        <v>0.04</v>
      </c>
      <c r="I141">
        <f t="shared" si="2"/>
        <v>-3.2188758248682006</v>
      </c>
    </row>
    <row r="142" spans="1:16" x14ac:dyDescent="0.2">
      <c r="A142" s="1">
        <v>42948</v>
      </c>
      <c r="B142" s="2">
        <v>3.2488686980000001E-2</v>
      </c>
      <c r="C142">
        <v>12.731784341885211</v>
      </c>
      <c r="D142">
        <v>-94.193483869999227</v>
      </c>
      <c r="E142">
        <v>18.088029671408965</v>
      </c>
      <c r="F142">
        <v>-12367107.188315645</v>
      </c>
      <c r="G142">
        <v>18.957082684915743</v>
      </c>
      <c r="H142" s="6">
        <v>3.9900000000000005E-2</v>
      </c>
      <c r="I142">
        <f t="shared" si="2"/>
        <v>-3.221378955086319</v>
      </c>
    </row>
    <row r="143" spans="1:16" x14ac:dyDescent="0.2">
      <c r="A143" s="1">
        <v>42979</v>
      </c>
      <c r="B143" s="2">
        <v>3.6117819610000004E-2</v>
      </c>
      <c r="C143">
        <v>12.67579639186234</v>
      </c>
      <c r="D143">
        <v>-27.883330660001661</v>
      </c>
      <c r="E143">
        <v>18.056674567307859</v>
      </c>
      <c r="F143">
        <v>-7751136.5282140896</v>
      </c>
      <c r="G143">
        <v>18.981169798158582</v>
      </c>
      <c r="H143" s="6">
        <v>4.1500000000000002E-2</v>
      </c>
      <c r="I143">
        <f t="shared" si="2"/>
        <v>-3.1820618517454844</v>
      </c>
    </row>
    <row r="144" spans="1:16" x14ac:dyDescent="0.2">
      <c r="A144" s="1">
        <v>43009</v>
      </c>
      <c r="B144" s="2">
        <v>3.011828121E-2</v>
      </c>
      <c r="C144">
        <v>12.81593689434753</v>
      </c>
      <c r="D144">
        <v>-28.739076129999944</v>
      </c>
      <c r="E144">
        <v>18.037215839539599</v>
      </c>
      <c r="F144">
        <v>-5656510.6531783268</v>
      </c>
      <c r="G144">
        <v>18.995733756302695</v>
      </c>
      <c r="H144" s="6">
        <v>0.04</v>
      </c>
      <c r="I144">
        <f t="shared" si="2"/>
        <v>-3.2188758248682006</v>
      </c>
    </row>
    <row r="145" spans="1:9" x14ac:dyDescent="0.2">
      <c r="A145" s="1">
        <v>43040</v>
      </c>
      <c r="B145" s="2">
        <v>2.6653281670000001E-2</v>
      </c>
      <c r="C145">
        <v>12.663938075877715</v>
      </c>
      <c r="D145">
        <v>-118.11032694999858</v>
      </c>
      <c r="E145">
        <v>18.105069444189184</v>
      </c>
      <c r="F145">
        <v>-5968685.9487225227</v>
      </c>
      <c r="G145">
        <v>19.004733089959682</v>
      </c>
      <c r="H145" s="6">
        <v>0.04</v>
      </c>
      <c r="I145">
        <f t="shared" si="2"/>
        <v>-3.2188758248682006</v>
      </c>
    </row>
    <row r="146" spans="1:9" x14ac:dyDescent="0.2">
      <c r="A146" s="1">
        <v>43070</v>
      </c>
      <c r="B146" s="2">
        <v>2.7146683419999998E-2</v>
      </c>
      <c r="C146">
        <v>12.606335049681521</v>
      </c>
      <c r="D146">
        <v>-96.166879280001467</v>
      </c>
      <c r="E146">
        <v>18.069532858815798</v>
      </c>
      <c r="F146">
        <v>3023461.3762339465</v>
      </c>
      <c r="G146">
        <v>19.047246806064376</v>
      </c>
      <c r="H146" s="6">
        <v>3.7999999999999999E-2</v>
      </c>
      <c r="I146">
        <f t="shared" si="2"/>
        <v>-3.2701691192557512</v>
      </c>
    </row>
    <row r="147" spans="1:9" x14ac:dyDescent="0.2">
      <c r="A147" s="1">
        <v>43101</v>
      </c>
      <c r="B147" s="2">
        <v>2.9280718040000001E-2</v>
      </c>
      <c r="C147">
        <v>12.578521992293162</v>
      </c>
      <c r="D147">
        <v>-133.77615316999731</v>
      </c>
      <c r="E147">
        <v>18.066155169886279</v>
      </c>
      <c r="F147">
        <v>736419.94070962816</v>
      </c>
      <c r="G147">
        <v>19.028556032329544</v>
      </c>
      <c r="H147" s="6">
        <v>3.5000000000000003E-2</v>
      </c>
      <c r="I147">
        <f t="shared" si="2"/>
        <v>-3.3524072174927233</v>
      </c>
    </row>
    <row r="148" spans="1:9" x14ac:dyDescent="0.2">
      <c r="A148" s="1">
        <v>43132</v>
      </c>
      <c r="B148" s="2">
        <v>2.8702155470000001E-2</v>
      </c>
      <c r="C148">
        <v>12.28601453350619</v>
      </c>
      <c r="D148">
        <v>-0.91215580999516988</v>
      </c>
      <c r="E148">
        <v>18.040291147377065</v>
      </c>
      <c r="F148">
        <v>113671.6114281714</v>
      </c>
      <c r="G148">
        <v>19.024246602695811</v>
      </c>
      <c r="H148" s="6">
        <v>4.4600000000000001E-2</v>
      </c>
      <c r="I148">
        <f t="shared" si="2"/>
        <v>-3.1100214199561185</v>
      </c>
    </row>
    <row r="149" spans="1:9" x14ac:dyDescent="0.2">
      <c r="A149" s="1">
        <v>43160</v>
      </c>
      <c r="B149" s="2">
        <v>2.728074086E-2</v>
      </c>
      <c r="C149">
        <v>12.473526455613092</v>
      </c>
      <c r="D149">
        <v>-27.506976739994343</v>
      </c>
      <c r="E149">
        <v>18.024070288886236</v>
      </c>
      <c r="F149">
        <v>1842378.575905364</v>
      </c>
      <c r="G149">
        <v>19.031857847933704</v>
      </c>
      <c r="H149" s="6">
        <v>3.5000000000000003E-2</v>
      </c>
      <c r="I149">
        <f t="shared" si="2"/>
        <v>-3.3524072174927233</v>
      </c>
    </row>
    <row r="150" spans="1:9" x14ac:dyDescent="0.2">
      <c r="A150" s="1">
        <v>43191</v>
      </c>
      <c r="B150" s="2">
        <v>3.0091931750000002E-2</v>
      </c>
      <c r="C150">
        <v>12.585690475594982</v>
      </c>
      <c r="D150">
        <v>-30.687600399998132</v>
      </c>
      <c r="E150">
        <v>18.003212542879009</v>
      </c>
      <c r="F150">
        <v>-1197339.7025836371</v>
      </c>
      <c r="G150">
        <v>19.027518402697016</v>
      </c>
      <c r="H150" s="6">
        <v>3.4500000000000003E-2</v>
      </c>
      <c r="I150">
        <f t="shared" si="2"/>
        <v>-3.366795954944823</v>
      </c>
    </row>
    <row r="151" spans="1:9" x14ac:dyDescent="0.2">
      <c r="A151" s="1">
        <v>43221</v>
      </c>
      <c r="B151" s="2">
        <v>3.1474123810000004E-2</v>
      </c>
      <c r="C151">
        <v>12.5771437169187</v>
      </c>
      <c r="D151">
        <v>98.532496830000468</v>
      </c>
      <c r="E151">
        <v>18.019373011103564</v>
      </c>
      <c r="F151">
        <v>914263.06053275242</v>
      </c>
      <c r="G151">
        <v>19.04492065808191</v>
      </c>
      <c r="H151" s="6">
        <v>3.7999999999999999E-2</v>
      </c>
      <c r="I151">
        <f t="shared" si="2"/>
        <v>-3.2701691192557512</v>
      </c>
    </row>
    <row r="152" spans="1:9" x14ac:dyDescent="0.2">
      <c r="A152" s="1">
        <v>43252</v>
      </c>
      <c r="B152" s="2">
        <v>3.1714800129999998E-2</v>
      </c>
      <c r="C152">
        <v>12.603944485944639</v>
      </c>
      <c r="D152">
        <v>-6.3820080500006497</v>
      </c>
      <c r="E152">
        <v>17.994847875444222</v>
      </c>
      <c r="F152">
        <v>3694556.2179682143</v>
      </c>
      <c r="G152">
        <v>19.059902239983856</v>
      </c>
      <c r="H152" s="6">
        <v>3.5000000000000003E-2</v>
      </c>
      <c r="I152">
        <f t="shared" si="2"/>
        <v>-3.3524072174927233</v>
      </c>
    </row>
    <row r="153" spans="1:9" x14ac:dyDescent="0.2">
      <c r="A153" s="1">
        <v>43282</v>
      </c>
      <c r="B153" s="2">
        <v>2.4447808729999999E-2</v>
      </c>
      <c r="C153">
        <v>12.778516145436871</v>
      </c>
      <c r="D153">
        <v>2.4910670599999776</v>
      </c>
      <c r="E153">
        <v>17.96654534693436</v>
      </c>
      <c r="F153">
        <v>3158334.5308640525</v>
      </c>
      <c r="G153">
        <v>19.05500761018104</v>
      </c>
      <c r="H153" s="6">
        <v>0.04</v>
      </c>
      <c r="I153">
        <f t="shared" si="2"/>
        <v>-3.2188758248682006</v>
      </c>
    </row>
    <row r="154" spans="1:9" x14ac:dyDescent="0.2">
      <c r="A154" s="1">
        <v>43313</v>
      </c>
      <c r="B154" s="2">
        <v>1.816083865E-2</v>
      </c>
      <c r="C154">
        <v>12.76714119483945</v>
      </c>
      <c r="D154">
        <v>-31.410809419995644</v>
      </c>
      <c r="E154">
        <v>17.947249651203361</v>
      </c>
      <c r="F154">
        <v>5154162.5273957849</v>
      </c>
      <c r="G154">
        <v>19.069492454989067</v>
      </c>
      <c r="H154" s="6">
        <v>3.5000000000000003E-2</v>
      </c>
      <c r="I154">
        <f t="shared" si="2"/>
        <v>-3.3524072174927233</v>
      </c>
    </row>
    <row r="155" spans="1:9" x14ac:dyDescent="0.2">
      <c r="A155" s="1">
        <v>43344</v>
      </c>
      <c r="B155" s="2">
        <v>9.1895033600000002E-3</v>
      </c>
      <c r="C155">
        <v>12.726839706545428</v>
      </c>
      <c r="D155">
        <v>10.719020089998139</v>
      </c>
      <c r="E155">
        <v>17.907906209463412</v>
      </c>
      <c r="F155">
        <v>6914151.0253811739</v>
      </c>
      <c r="G155">
        <v>19.063649969230529</v>
      </c>
      <c r="H155" s="6">
        <v>3.15E-2</v>
      </c>
      <c r="I155">
        <f t="shared" si="2"/>
        <v>-3.4577677331505496</v>
      </c>
    </row>
    <row r="156" spans="1:9" x14ac:dyDescent="0.2">
      <c r="A156" s="1">
        <v>43374</v>
      </c>
      <c r="B156" s="2">
        <v>1.31372096E-2</v>
      </c>
      <c r="C156">
        <v>12.801562537855544</v>
      </c>
      <c r="D156">
        <v>-213.6163527399965</v>
      </c>
      <c r="E156">
        <v>17.882031040353791</v>
      </c>
      <c r="F156">
        <v>8795146.8631067276</v>
      </c>
      <c r="G156">
        <v>19.072751456212391</v>
      </c>
      <c r="H156" s="6">
        <v>2.6000000000000002E-2</v>
      </c>
      <c r="I156">
        <f t="shared" si="2"/>
        <v>-3.6496587409606551</v>
      </c>
    </row>
    <row r="157" spans="1:9" x14ac:dyDescent="0.2">
      <c r="A157" s="1">
        <v>43405</v>
      </c>
      <c r="B157" s="2">
        <v>1.497797948E-2</v>
      </c>
      <c r="C157">
        <v>12.792817059143733</v>
      </c>
      <c r="D157">
        <v>-229.05572630000029</v>
      </c>
      <c r="E157">
        <v>17.909080316812883</v>
      </c>
      <c r="F157">
        <v>6106142.9254825264</v>
      </c>
      <c r="G157">
        <v>19.068321294617345</v>
      </c>
      <c r="H157" s="6">
        <v>3.1E-2</v>
      </c>
      <c r="I157">
        <f t="shared" si="2"/>
        <v>-3.473768074496991</v>
      </c>
    </row>
    <row r="158" spans="1:9" x14ac:dyDescent="0.2">
      <c r="A158" s="1">
        <v>43435</v>
      </c>
      <c r="B158" s="2">
        <v>1.507066789E-2</v>
      </c>
      <c r="C158">
        <v>12.643632859394849</v>
      </c>
      <c r="D158">
        <v>-329.95043471999668</v>
      </c>
      <c r="E158">
        <v>17.9324580789166</v>
      </c>
      <c r="F158">
        <v>16084795.381463334</v>
      </c>
      <c r="G158">
        <v>19.113350084507609</v>
      </c>
      <c r="H158" s="6">
        <v>2.5000000000000001E-2</v>
      </c>
      <c r="I158">
        <f t="shared" si="2"/>
        <v>-3.6888794541139363</v>
      </c>
    </row>
    <row r="159" spans="1:9" x14ac:dyDescent="0.2">
      <c r="A159" s="1">
        <v>43466</v>
      </c>
      <c r="B159" s="2">
        <v>1.42764737E-2</v>
      </c>
      <c r="C159">
        <v>12.730879507195883</v>
      </c>
      <c r="D159">
        <v>-199.28713195999978</v>
      </c>
      <c r="E159">
        <v>17.907245740942461</v>
      </c>
      <c r="F159">
        <v>13642538.24884145</v>
      </c>
      <c r="G159">
        <v>19.086971771934955</v>
      </c>
      <c r="H159" s="6">
        <v>0.03</v>
      </c>
      <c r="I159">
        <f t="shared" si="2"/>
        <v>-3.5065578973199818</v>
      </c>
    </row>
    <row r="160" spans="1:9" x14ac:dyDescent="0.2">
      <c r="A160" s="1">
        <v>43497</v>
      </c>
      <c r="B160" s="2">
        <v>9.50864165E-3</v>
      </c>
      <c r="C160">
        <v>12.599900730368933</v>
      </c>
      <c r="D160">
        <v>-203.40366023999991</v>
      </c>
      <c r="E160">
        <v>17.878320203553553</v>
      </c>
      <c r="F160">
        <v>14019484.893807355</v>
      </c>
      <c r="G160">
        <v>19.083462219298294</v>
      </c>
      <c r="H160" s="6">
        <v>2.5000000000000001E-2</v>
      </c>
      <c r="I160">
        <f t="shared" si="2"/>
        <v>-3.6888794541139363</v>
      </c>
    </row>
    <row r="161" spans="1:9" x14ac:dyDescent="0.2">
      <c r="A161" s="1">
        <v>43525</v>
      </c>
      <c r="B161" s="2">
        <v>1.062693761E-2</v>
      </c>
      <c r="C161">
        <v>12.520150025286549</v>
      </c>
      <c r="D161">
        <v>-26.834810309999284</v>
      </c>
      <c r="E161">
        <v>17.813953377571863</v>
      </c>
      <c r="F161">
        <v>16522726.985160485</v>
      </c>
      <c r="G161">
        <v>19.085167024519329</v>
      </c>
      <c r="H161" s="6">
        <v>2.7999999999999997E-2</v>
      </c>
      <c r="I161">
        <f t="shared" si="2"/>
        <v>-3.575550768806933</v>
      </c>
    </row>
    <row r="162" spans="1:9" x14ac:dyDescent="0.2">
      <c r="A162" s="1">
        <v>43556</v>
      </c>
      <c r="B162" s="2">
        <v>1.3486563179999999E-2</v>
      </c>
      <c r="C162">
        <v>12.574640597201819</v>
      </c>
      <c r="D162">
        <v>-153.96142841000005</v>
      </c>
      <c r="E162">
        <v>17.870574774107627</v>
      </c>
      <c r="F162">
        <v>14288030.154792566</v>
      </c>
      <c r="G162">
        <v>19.075512515138719</v>
      </c>
      <c r="H162" s="6">
        <v>0.03</v>
      </c>
      <c r="I162">
        <f t="shared" si="2"/>
        <v>-3.5065578973199818</v>
      </c>
    </row>
    <row r="163" spans="1:9" x14ac:dyDescent="0.2">
      <c r="A163" s="1">
        <v>43586</v>
      </c>
      <c r="B163" s="2">
        <v>1.6911347859999998E-2</v>
      </c>
      <c r="C163">
        <v>12.642368867507294</v>
      </c>
      <c r="D163">
        <v>-133.33026009000025</v>
      </c>
      <c r="E163">
        <v>17.851836137823621</v>
      </c>
      <c r="F163">
        <v>15635836.007237077</v>
      </c>
      <c r="G163">
        <v>19.089667097910144</v>
      </c>
      <c r="H163" s="6">
        <v>0.03</v>
      </c>
      <c r="I163">
        <f t="shared" si="2"/>
        <v>-3.5065578973199818</v>
      </c>
    </row>
    <row r="164" spans="1:9" x14ac:dyDescent="0.2">
      <c r="A164" s="1">
        <v>43617</v>
      </c>
      <c r="B164" s="2">
        <v>1.729796862E-2</v>
      </c>
      <c r="C164">
        <v>12.708700563233521</v>
      </c>
      <c r="D164">
        <v>-3.4489486099994338</v>
      </c>
      <c r="E164">
        <v>17.859506082653397</v>
      </c>
      <c r="F164">
        <v>17164347.025118038</v>
      </c>
      <c r="G164">
        <v>19.096427457187218</v>
      </c>
      <c r="H164" s="6">
        <v>2.5000000000000001E-2</v>
      </c>
      <c r="I164">
        <f t="shared" si="2"/>
        <v>-3.6888794541139363</v>
      </c>
    </row>
    <row r="165" spans="1:9" x14ac:dyDescent="0.2">
      <c r="A165" s="1">
        <v>43647</v>
      </c>
      <c r="B165" s="2">
        <v>1.9180861720000001E-2</v>
      </c>
      <c r="C165">
        <v>12.791931781719606</v>
      </c>
      <c r="D165">
        <v>40.799770600001239</v>
      </c>
      <c r="E165">
        <v>17.826467373596344</v>
      </c>
      <c r="F165">
        <v>17266163.166491158</v>
      </c>
      <c r="G165">
        <v>19.093289644236638</v>
      </c>
      <c r="H165" s="6">
        <v>0.03</v>
      </c>
      <c r="I165">
        <f t="shared" si="2"/>
        <v>-3.5065578973199818</v>
      </c>
    </row>
    <row r="166" spans="1:9" x14ac:dyDescent="0.2">
      <c r="A166" s="1">
        <v>43678</v>
      </c>
      <c r="B166" s="2">
        <v>2.2533043240000002E-2</v>
      </c>
      <c r="C166">
        <v>12.819960054446332</v>
      </c>
      <c r="D166">
        <v>-46.136708439998984</v>
      </c>
      <c r="E166">
        <v>17.823993165610798</v>
      </c>
      <c r="F166">
        <v>18138417.307107762</v>
      </c>
      <c r="G166">
        <v>19.096773647760273</v>
      </c>
      <c r="H166" s="6">
        <v>0.03</v>
      </c>
      <c r="I166">
        <f t="shared" si="2"/>
        <v>-3.5065578973199818</v>
      </c>
    </row>
    <row r="167" spans="1:9" x14ac:dyDescent="0.2">
      <c r="A167" s="1">
        <v>43709</v>
      </c>
      <c r="B167" s="2">
        <v>2.2582003830000003E-2</v>
      </c>
      <c r="C167">
        <v>12.862619141063629</v>
      </c>
      <c r="D167">
        <v>44.40861047000044</v>
      </c>
      <c r="E167">
        <v>17.775953205397794</v>
      </c>
      <c r="F167">
        <v>20192131.524391368</v>
      </c>
      <c r="G167">
        <v>19.098577950242372</v>
      </c>
      <c r="H167" s="6">
        <v>3.4000000000000002E-2</v>
      </c>
      <c r="I167">
        <f t="shared" si="2"/>
        <v>-3.3813947543659757</v>
      </c>
    </row>
    <row r="168" spans="1:9" x14ac:dyDescent="0.2">
      <c r="A168" s="1">
        <v>43739</v>
      </c>
      <c r="B168" s="2">
        <v>2.5376322130000004E-2</v>
      </c>
      <c r="C168">
        <v>12.847350052412413</v>
      </c>
      <c r="D168">
        <v>-9.6735088399989309</v>
      </c>
      <c r="E168">
        <v>17.662515305989348</v>
      </c>
      <c r="F168">
        <v>22392903.380207546</v>
      </c>
      <c r="G168">
        <v>19.091417333630044</v>
      </c>
      <c r="H168" s="6">
        <v>2.5000000000000001E-2</v>
      </c>
      <c r="I168">
        <f t="shared" si="2"/>
        <v>-3.6888794541139363</v>
      </c>
    </row>
    <row r="169" spans="1:9" x14ac:dyDescent="0.2">
      <c r="A169" s="1">
        <v>43770</v>
      </c>
      <c r="B169" s="2">
        <v>3.4123305710000003E-2</v>
      </c>
      <c r="C169">
        <v>12.554629352072128</v>
      </c>
      <c r="D169">
        <v>54.910830270000247</v>
      </c>
      <c r="E169">
        <v>17.60677665420587</v>
      </c>
      <c r="F169">
        <v>22624096.693566743</v>
      </c>
      <c r="G169">
        <v>19.068418450583643</v>
      </c>
      <c r="H169" s="6">
        <v>3.9E-2</v>
      </c>
      <c r="I169">
        <f t="shared" si="2"/>
        <v>-3.2441936328524905</v>
      </c>
    </row>
    <row r="170" spans="1:9" x14ac:dyDescent="0.2">
      <c r="A170" s="1">
        <v>43800</v>
      </c>
      <c r="B170" s="2">
        <v>1.4690440860000001E-2</v>
      </c>
      <c r="C170">
        <v>12.742159976019307</v>
      </c>
      <c r="D170">
        <v>-255.08122906999893</v>
      </c>
      <c r="E170">
        <v>17.608012752868294</v>
      </c>
      <c r="F170">
        <v>27321855.590497546</v>
      </c>
      <c r="G170">
        <v>19.097406141121738</v>
      </c>
      <c r="H170" s="6">
        <v>0.04</v>
      </c>
      <c r="I170">
        <f t="shared" si="2"/>
        <v>-3.2188758248682006</v>
      </c>
    </row>
    <row r="171" spans="1:9" x14ac:dyDescent="0.2">
      <c r="A171" s="1">
        <v>43831</v>
      </c>
      <c r="B171" s="2">
        <v>1.2099026740000001E-2</v>
      </c>
      <c r="C171">
        <v>12.623530475937301</v>
      </c>
      <c r="D171">
        <v>20.821250050006597</v>
      </c>
      <c r="E171">
        <v>17.593374185612664</v>
      </c>
      <c r="F171">
        <v>25248256.323882483</v>
      </c>
      <c r="G171">
        <v>19.071180587419505</v>
      </c>
      <c r="H171" s="6">
        <v>0.03</v>
      </c>
      <c r="I171">
        <f t="shared" si="2"/>
        <v>-3.5065578973199818</v>
      </c>
    </row>
    <row r="172" spans="1:9" x14ac:dyDescent="0.2">
      <c r="A172" s="1">
        <v>43862</v>
      </c>
      <c r="B172" s="2">
        <v>1.3009696459999999E-2</v>
      </c>
      <c r="C172">
        <v>12.47950864915655</v>
      </c>
      <c r="D172">
        <v>33.449373680006374</v>
      </c>
      <c r="E172">
        <v>17.583304754131422</v>
      </c>
      <c r="F172">
        <v>26622874.123236682</v>
      </c>
      <c r="G172">
        <v>19.072255001911124</v>
      </c>
      <c r="H172" s="6">
        <v>2.5000000000000001E-2</v>
      </c>
      <c r="I172">
        <f t="shared" si="2"/>
        <v>-3.6888794541139363</v>
      </c>
    </row>
    <row r="173" spans="1:9" x14ac:dyDescent="0.2">
      <c r="A173" s="1">
        <v>43891</v>
      </c>
      <c r="B173" s="2">
        <v>1.435385619E-2</v>
      </c>
      <c r="C173">
        <v>12.168733230824703</v>
      </c>
      <c r="D173">
        <v>50.52122102999931</v>
      </c>
      <c r="E173">
        <v>17.547960613791346</v>
      </c>
      <c r="F173">
        <v>32394505.741277542</v>
      </c>
      <c r="G173">
        <v>19.096652514209389</v>
      </c>
      <c r="H173" s="6">
        <v>2.2000000000000002E-2</v>
      </c>
      <c r="I173">
        <f t="shared" si="2"/>
        <v>-3.8167128256238212</v>
      </c>
    </row>
    <row r="174" spans="1:9" x14ac:dyDescent="0.2">
      <c r="A174" s="1">
        <v>43922</v>
      </c>
      <c r="B174" s="2">
        <v>1.7153232640000002E-2</v>
      </c>
      <c r="C174">
        <v>10.576982639469133</v>
      </c>
      <c r="D174">
        <v>-44.139951810001122</v>
      </c>
      <c r="E174">
        <v>17.617984844167673</v>
      </c>
      <c r="F174">
        <v>34761213.581713729</v>
      </c>
      <c r="G174">
        <v>19.128513794300765</v>
      </c>
      <c r="H174" s="6">
        <v>3.5000000000000003E-2</v>
      </c>
      <c r="I174">
        <f t="shared" si="2"/>
        <v>-3.3524072174927233</v>
      </c>
    </row>
    <row r="175" spans="1:9" x14ac:dyDescent="0.2">
      <c r="A175" s="1">
        <v>43952</v>
      </c>
      <c r="B175" s="2">
        <v>1.2292382340000001E-2</v>
      </c>
      <c r="C175">
        <v>11.783718072494899</v>
      </c>
      <c r="D175">
        <v>-60.117920729998843</v>
      </c>
      <c r="E175">
        <v>17.595910136520107</v>
      </c>
      <c r="F175">
        <v>37598564.954820015</v>
      </c>
      <c r="G175">
        <v>19.148321562138182</v>
      </c>
      <c r="H175" s="6">
        <v>2.6000000000000002E-2</v>
      </c>
      <c r="I175">
        <f t="shared" si="2"/>
        <v>-3.6496587409606551</v>
      </c>
    </row>
    <row r="176" spans="1:9" x14ac:dyDescent="0.2">
      <c r="A176" s="1">
        <v>43983</v>
      </c>
      <c r="B176" s="2">
        <v>1.4371195430000001E-2</v>
      </c>
      <c r="C176">
        <v>12.347475935808761</v>
      </c>
      <c r="D176">
        <v>40.930631300002801</v>
      </c>
      <c r="E176">
        <v>17.577371796642478</v>
      </c>
      <c r="F176">
        <v>38565855.909011029</v>
      </c>
      <c r="G176">
        <v>19.151228375804717</v>
      </c>
      <c r="H176" s="6">
        <v>0.02</v>
      </c>
      <c r="I176">
        <f t="shared" si="2"/>
        <v>-3.912023005428146</v>
      </c>
    </row>
    <row r="177" spans="1:9" x14ac:dyDescent="0.2">
      <c r="A177" s="1">
        <v>44013</v>
      </c>
      <c r="B177" s="2">
        <v>1.3461362610000001E-2</v>
      </c>
      <c r="C177">
        <v>12.353034644308064</v>
      </c>
      <c r="D177">
        <v>-19.287618060002046</v>
      </c>
      <c r="E177">
        <v>17.62953444223098</v>
      </c>
      <c r="F177">
        <v>38289491.40196868</v>
      </c>
      <c r="G177">
        <v>19.148197205981589</v>
      </c>
      <c r="H177" s="6">
        <v>0.02</v>
      </c>
      <c r="I177">
        <f t="shared" si="2"/>
        <v>-3.912023005428146</v>
      </c>
    </row>
    <row r="178" spans="1:9" x14ac:dyDescent="0.2">
      <c r="A178" s="1">
        <v>44044</v>
      </c>
      <c r="B178" s="2">
        <v>1.388457496E-2</v>
      </c>
      <c r="C178">
        <v>12.424532429109419</v>
      </c>
      <c r="D178">
        <v>36.102654440003846</v>
      </c>
      <c r="E178">
        <v>17.634959595760034</v>
      </c>
      <c r="F178">
        <v>39697015.705200642</v>
      </c>
      <c r="G178">
        <v>19.157372299627117</v>
      </c>
      <c r="H178" s="6">
        <v>0.02</v>
      </c>
      <c r="I178">
        <f t="shared" si="2"/>
        <v>-3.912023005428146</v>
      </c>
    </row>
    <row r="179" spans="1:9" x14ac:dyDescent="0.2">
      <c r="A179" s="1">
        <v>44075</v>
      </c>
      <c r="B179" s="2">
        <v>4.5665132400000003E-3</v>
      </c>
      <c r="C179">
        <v>12.728024370047061</v>
      </c>
      <c r="D179">
        <v>-77.50214554999684</v>
      </c>
      <c r="E179">
        <v>17.590584353104532</v>
      </c>
      <c r="F179">
        <v>40776014.807061985</v>
      </c>
      <c r="G179">
        <v>19.156194346090501</v>
      </c>
      <c r="H179" s="6">
        <v>2.1099999999999997E-2</v>
      </c>
      <c r="I179">
        <f t="shared" si="2"/>
        <v>-3.8584822385001165</v>
      </c>
    </row>
    <row r="180" spans="1:9" x14ac:dyDescent="0.2">
      <c r="A180" s="1">
        <v>44105</v>
      </c>
      <c r="B180" s="2">
        <v>2.7570500900000001E-3</v>
      </c>
      <c r="C180">
        <v>12.855643735234146</v>
      </c>
      <c r="D180">
        <v>-14.552550369997675</v>
      </c>
      <c r="E180">
        <v>17.460058687388617</v>
      </c>
      <c r="F180">
        <v>42371454.591670141</v>
      </c>
      <c r="G180">
        <v>19.151540404801167</v>
      </c>
      <c r="H180" s="6">
        <v>2.5000000000000001E-2</v>
      </c>
      <c r="I180">
        <f t="shared" si="2"/>
        <v>-3.6888794541139363</v>
      </c>
    </row>
    <row r="181" spans="1:9" x14ac:dyDescent="0.2">
      <c r="A181" s="1">
        <v>44136</v>
      </c>
      <c r="B181" s="2">
        <v>-1.096149574E-2</v>
      </c>
      <c r="C181">
        <v>12.744735698592031</v>
      </c>
      <c r="D181">
        <v>145.6616787500019</v>
      </c>
      <c r="E181">
        <v>17.409777186330686</v>
      </c>
      <c r="F181">
        <v>42609137.214896664</v>
      </c>
      <c r="G181">
        <v>19.154959971224073</v>
      </c>
      <c r="H181" s="6">
        <v>2.5000000000000001E-2</v>
      </c>
      <c r="I181">
        <f t="shared" si="2"/>
        <v>-3.6888794541139363</v>
      </c>
    </row>
    <row r="182" spans="1:9" x14ac:dyDescent="0.2">
      <c r="A182" s="1">
        <v>44166</v>
      </c>
      <c r="B182" s="2">
        <v>6.7047200799999996E-3</v>
      </c>
      <c r="C182">
        <v>12.700962685659348</v>
      </c>
      <c r="D182">
        <v>25.467212609999251</v>
      </c>
      <c r="E182">
        <v>17.40437554410007</v>
      </c>
      <c r="F182">
        <v>52638865.967619777</v>
      </c>
      <c r="G182">
        <v>19.20212879149609</v>
      </c>
      <c r="H182" s="6">
        <v>2.5000000000000001E-2</v>
      </c>
      <c r="I182">
        <f t="shared" si="2"/>
        <v>-3.6888794541139363</v>
      </c>
    </row>
    <row r="183" spans="1:9" x14ac:dyDescent="0.2">
      <c r="A183" s="1">
        <v>44197</v>
      </c>
      <c r="B183" s="2">
        <v>1.171946257E-2</v>
      </c>
      <c r="C183">
        <v>12.358713579121044</v>
      </c>
      <c r="D183">
        <v>171.55075077000106</v>
      </c>
      <c r="E183">
        <v>17.343381487155366</v>
      </c>
      <c r="F183">
        <v>53526233.4938647</v>
      </c>
      <c r="G183">
        <v>19.187629733258692</v>
      </c>
      <c r="H183" s="6">
        <v>0.02</v>
      </c>
      <c r="I183">
        <f t="shared" si="2"/>
        <v>-3.912023005428146</v>
      </c>
    </row>
    <row r="184" spans="1:9" x14ac:dyDescent="0.2">
      <c r="A184" s="1">
        <v>44228</v>
      </c>
      <c r="B184" s="2">
        <v>1.3993172460000002E-2</v>
      </c>
      <c r="C184">
        <v>12.337182001139663</v>
      </c>
      <c r="D184">
        <v>129.15373816000329</v>
      </c>
      <c r="E184">
        <v>17.303537316401663</v>
      </c>
      <c r="F184">
        <v>51866818.583824858</v>
      </c>
      <c r="G184">
        <v>19.177858201154322</v>
      </c>
      <c r="H184" s="6">
        <v>2.0499999999999997E-2</v>
      </c>
      <c r="I184">
        <f t="shared" si="2"/>
        <v>-3.8873303928377747</v>
      </c>
    </row>
    <row r="185" spans="1:9" x14ac:dyDescent="0.2">
      <c r="A185" s="1">
        <v>44256</v>
      </c>
      <c r="B185" s="2">
        <v>1.1618423419999999E-2</v>
      </c>
      <c r="C185">
        <v>12.579444765525192</v>
      </c>
      <c r="D185">
        <v>133.55667695000125</v>
      </c>
      <c r="E185">
        <v>17.25103231134576</v>
      </c>
      <c r="F185">
        <v>52730535.946109086</v>
      </c>
      <c r="G185">
        <v>19.172431513502747</v>
      </c>
      <c r="H185" s="6">
        <v>2.1000000000000001E-2</v>
      </c>
      <c r="I185">
        <f t="shared" si="2"/>
        <v>-3.8632328412587138</v>
      </c>
    </row>
    <row r="186" spans="1:9" x14ac:dyDescent="0.2">
      <c r="A186" s="1">
        <v>44287</v>
      </c>
      <c r="B186" s="2">
        <v>6.7779113599999996E-3</v>
      </c>
      <c r="C186">
        <v>12.566076947002212</v>
      </c>
      <c r="D186">
        <v>205.20190449999893</v>
      </c>
      <c r="E186">
        <v>17.27345890465369</v>
      </c>
      <c r="F186">
        <v>51652694.92324093</v>
      </c>
      <c r="G186">
        <v>19.176277825438909</v>
      </c>
      <c r="H186" s="6">
        <v>1.6E-2</v>
      </c>
      <c r="I186">
        <f t="shared" si="2"/>
        <v>-4.1351665567423561</v>
      </c>
    </row>
    <row r="187" spans="1:9" x14ac:dyDescent="0.2">
      <c r="A187" s="1">
        <v>44317</v>
      </c>
      <c r="B187" s="2">
        <v>5.3650884600000004E-3</v>
      </c>
      <c r="C187">
        <v>12.594817590863249</v>
      </c>
      <c r="D187">
        <v>273.24445071000252</v>
      </c>
      <c r="E187">
        <v>17.327746669009894</v>
      </c>
      <c r="F187">
        <v>51202807.325694919</v>
      </c>
      <c r="G187">
        <v>19.177997037981708</v>
      </c>
      <c r="H187" s="6">
        <v>1.9E-2</v>
      </c>
      <c r="I187">
        <f t="shared" si="2"/>
        <v>-3.9633162998156966</v>
      </c>
    </row>
    <row r="188" spans="1:9" x14ac:dyDescent="0.2">
      <c r="A188" s="1">
        <v>44348</v>
      </c>
      <c r="B188" s="2">
        <v>1.87136614E-3</v>
      </c>
      <c r="C188">
        <v>12.575702727107675</v>
      </c>
      <c r="D188">
        <v>168.91167948000293</v>
      </c>
      <c r="E188">
        <v>17.272536605815752</v>
      </c>
      <c r="F188">
        <v>51687697.987344481</v>
      </c>
      <c r="G188">
        <v>19.182754876672746</v>
      </c>
      <c r="H188" s="6">
        <v>1.8000000000000002E-2</v>
      </c>
      <c r="I188">
        <f t="shared" si="2"/>
        <v>-4.0173835210859723</v>
      </c>
    </row>
    <row r="189" spans="1:9" x14ac:dyDescent="0.2">
      <c r="A189" s="1">
        <v>44378</v>
      </c>
      <c r="B189" s="2">
        <v>1.9897575200000001E-3</v>
      </c>
      <c r="C189">
        <v>12.694006184557228</v>
      </c>
      <c r="D189">
        <v>258.5794691500007</v>
      </c>
      <c r="E189">
        <v>17.298427123853781</v>
      </c>
      <c r="F189">
        <v>51909235.540400892</v>
      </c>
      <c r="G189">
        <v>19.186479235754799</v>
      </c>
      <c r="H189" s="6">
        <v>1.83E-2</v>
      </c>
      <c r="I189">
        <f t="shared" si="2"/>
        <v>-4.0008542191347614</v>
      </c>
    </row>
    <row r="190" spans="1:9" x14ac:dyDescent="0.2">
      <c r="A190" s="1">
        <v>44409</v>
      </c>
      <c r="B190" s="2">
        <v>1.7708010299999999E-3</v>
      </c>
      <c r="C190">
        <v>12.736223703341988</v>
      </c>
      <c r="D190">
        <v>248.77299119000077</v>
      </c>
      <c r="E190">
        <v>17.37363793879317</v>
      </c>
      <c r="F190">
        <v>52706555.366309687</v>
      </c>
      <c r="G190">
        <v>19.19916840922361</v>
      </c>
      <c r="H190" s="6">
        <v>0.02</v>
      </c>
      <c r="I190">
        <f t="shared" si="2"/>
        <v>-3.912023005428146</v>
      </c>
    </row>
    <row r="191" spans="1:9" x14ac:dyDescent="0.2">
      <c r="A191" s="1">
        <v>44440</v>
      </c>
      <c r="B191" s="2">
        <v>9.9054612900000005E-3</v>
      </c>
      <c r="C191">
        <v>12.706794483529393</v>
      </c>
      <c r="D191">
        <v>187.58079374000306</v>
      </c>
      <c r="E191">
        <v>17.316203058985888</v>
      </c>
      <c r="F191">
        <v>56172394.120169118</v>
      </c>
      <c r="G191">
        <v>19.213823005418007</v>
      </c>
      <c r="H191" s="6">
        <v>0.02</v>
      </c>
      <c r="I191">
        <f t="shared" si="2"/>
        <v>-3.912023005428146</v>
      </c>
    </row>
    <row r="192" spans="1:9" x14ac:dyDescent="0.2">
      <c r="A192" s="1">
        <v>44470</v>
      </c>
      <c r="B192" s="2">
        <v>4.9262088700000005E-3</v>
      </c>
      <c r="C192">
        <v>12.819182182362095</v>
      </c>
      <c r="D192">
        <v>117.21417558000508</v>
      </c>
      <c r="E192">
        <v>17.328444651189951</v>
      </c>
      <c r="F192">
        <v>55949262.389871165</v>
      </c>
      <c r="G192">
        <v>19.213764284591605</v>
      </c>
      <c r="H192" s="6">
        <v>0.02</v>
      </c>
      <c r="I192">
        <f t="shared" si="2"/>
        <v>-3.912023005428146</v>
      </c>
    </row>
    <row r="193" spans="1:9" x14ac:dyDescent="0.2">
      <c r="A193" s="1">
        <v>44501</v>
      </c>
      <c r="B193" s="2">
        <v>9.5867430799999997E-3</v>
      </c>
      <c r="C193">
        <v>12.683739843847572</v>
      </c>
      <c r="D193">
        <v>209.29431953000574</v>
      </c>
      <c r="E193">
        <v>17.301940287276913</v>
      </c>
      <c r="F193">
        <v>56505510.251278549</v>
      </c>
      <c r="G193">
        <v>19.223527737075095</v>
      </c>
      <c r="H193" s="6">
        <v>0.02</v>
      </c>
      <c r="I193">
        <f t="shared" si="2"/>
        <v>-3.912023005428146</v>
      </c>
    </row>
    <row r="194" spans="1:9" x14ac:dyDescent="0.2">
      <c r="A194" s="1">
        <v>44531</v>
      </c>
      <c r="B194" s="2">
        <v>9.00950459E-3</v>
      </c>
      <c r="C194">
        <v>12.622092268272356</v>
      </c>
      <c r="D194">
        <v>35.621762479997642</v>
      </c>
      <c r="E194">
        <v>17.299886506471797</v>
      </c>
      <c r="F194">
        <v>63530289.004490748</v>
      </c>
      <c r="G194">
        <v>19.257918051986866</v>
      </c>
      <c r="H194" s="6">
        <v>2.6499999999999999E-2</v>
      </c>
      <c r="I194">
        <f t="shared" si="2"/>
        <v>-3.6306105459899607</v>
      </c>
    </row>
    <row r="195" spans="1:9" x14ac:dyDescent="0.2">
      <c r="A195" s="1">
        <v>44562</v>
      </c>
      <c r="B195" s="2">
        <v>7.4037784699999996E-3</v>
      </c>
      <c r="C195">
        <v>12.542864473933633</v>
      </c>
      <c r="D195">
        <v>453.56814968000685</v>
      </c>
      <c r="E195">
        <v>17.241588879318165</v>
      </c>
      <c r="F195">
        <v>62878839.356154241</v>
      </c>
      <c r="G195">
        <v>19.245032057306823</v>
      </c>
      <c r="H195" s="6">
        <v>0.02</v>
      </c>
      <c r="I195">
        <f t="shared" ref="I195:I238" si="3">LN(H195)</f>
        <v>-3.912023005428146</v>
      </c>
    </row>
    <row r="196" spans="1:9" x14ac:dyDescent="0.2">
      <c r="A196" s="1">
        <v>44593</v>
      </c>
      <c r="B196" s="2">
        <v>7.01546789E-3</v>
      </c>
      <c r="C196">
        <v>12.534537695741065</v>
      </c>
      <c r="D196">
        <v>201.52091849000294</v>
      </c>
      <c r="E196">
        <v>17.221953574234323</v>
      </c>
      <c r="F196">
        <v>63394843.571978465</v>
      </c>
      <c r="G196">
        <v>19.244040750068155</v>
      </c>
      <c r="H196" s="6">
        <v>0.02</v>
      </c>
      <c r="I196">
        <f t="shared" si="3"/>
        <v>-3.912023005428146</v>
      </c>
    </row>
    <row r="197" spans="1:9" x14ac:dyDescent="0.2">
      <c r="A197" s="1">
        <v>44621</v>
      </c>
      <c r="B197" s="2">
        <v>7.7400036299999997E-3</v>
      </c>
      <c r="C197">
        <v>12.602222827439535</v>
      </c>
      <c r="D197">
        <v>300.32245401000091</v>
      </c>
      <c r="E197">
        <v>17.267063539331453</v>
      </c>
      <c r="F197">
        <v>61761974.189947665</v>
      </c>
      <c r="G197">
        <v>19.245309200621854</v>
      </c>
      <c r="H197" s="6">
        <v>2.5000000000000001E-2</v>
      </c>
      <c r="I197">
        <f t="shared" si="3"/>
        <v>-3.6888794541139363</v>
      </c>
    </row>
    <row r="198" spans="1:9" x14ac:dyDescent="0.2">
      <c r="A198" s="1">
        <v>44652</v>
      </c>
      <c r="B198" s="2">
        <v>8.6637635599999992E-3</v>
      </c>
      <c r="C198">
        <v>12.621862598510791</v>
      </c>
      <c r="D198">
        <v>349.67648149000445</v>
      </c>
      <c r="E198">
        <v>17.267747759751046</v>
      </c>
      <c r="F198">
        <v>59289306.665047243</v>
      </c>
      <c r="G198">
        <v>19.241314996366562</v>
      </c>
      <c r="H198" s="6">
        <v>2.4799999999999999E-2</v>
      </c>
      <c r="I198">
        <f t="shared" si="3"/>
        <v>-3.6969116258112007</v>
      </c>
    </row>
    <row r="199" spans="1:9" x14ac:dyDescent="0.2">
      <c r="A199" s="1">
        <v>44682</v>
      </c>
      <c r="B199" s="2">
        <v>1.4144486389999999E-2</v>
      </c>
      <c r="C199">
        <v>12.612662354371148</v>
      </c>
      <c r="D199">
        <v>434.30237201000307</v>
      </c>
      <c r="E199">
        <v>17.2623807892993</v>
      </c>
      <c r="F199">
        <v>56433981.06288524</v>
      </c>
      <c r="G199">
        <v>19.239040833482676</v>
      </c>
      <c r="H199" s="6">
        <v>2.2499999999999999E-2</v>
      </c>
      <c r="I199">
        <f t="shared" si="3"/>
        <v>-3.7942399697717626</v>
      </c>
    </row>
    <row r="200" spans="1:9" x14ac:dyDescent="0.2">
      <c r="A200" s="1">
        <v>44713</v>
      </c>
      <c r="B200" s="2">
        <v>1.7921556009999999E-2</v>
      </c>
      <c r="C200">
        <v>12.62656205479132</v>
      </c>
      <c r="D200">
        <v>306.69255396999824</v>
      </c>
      <c r="E200">
        <v>17.246505288070907</v>
      </c>
      <c r="F200">
        <v>59033643.514745906</v>
      </c>
      <c r="G200">
        <v>19.249449148225935</v>
      </c>
      <c r="H200" s="6">
        <v>2.5000000000000001E-2</v>
      </c>
      <c r="I200">
        <f t="shared" si="3"/>
        <v>-3.6888794541139363</v>
      </c>
    </row>
    <row r="201" spans="1:9" x14ac:dyDescent="0.2">
      <c r="A201" s="1">
        <v>44743</v>
      </c>
      <c r="B201" s="2">
        <v>2.0388555280000002E-2</v>
      </c>
      <c r="C201">
        <v>12.691144704845351</v>
      </c>
      <c r="D201">
        <v>298.97581347000005</v>
      </c>
      <c r="E201">
        <v>17.200080114650849</v>
      </c>
      <c r="F201">
        <v>59616157.265636086</v>
      </c>
      <c r="G201">
        <v>19.249238197496954</v>
      </c>
      <c r="H201" s="6">
        <v>2.75E-2</v>
      </c>
      <c r="I201">
        <f t="shared" si="3"/>
        <v>-3.5935692743096115</v>
      </c>
    </row>
    <row r="202" spans="1:9" x14ac:dyDescent="0.2">
      <c r="A202" s="1">
        <v>44774</v>
      </c>
      <c r="B202" s="2">
        <v>1.5478381610000001E-2</v>
      </c>
      <c r="C202">
        <v>12.736679425773612</v>
      </c>
      <c r="D202">
        <v>76.137607499998694</v>
      </c>
      <c r="E202">
        <v>17.078052757505382</v>
      </c>
      <c r="F202">
        <v>61872114.500377417</v>
      </c>
      <c r="G202">
        <v>19.256416495349921</v>
      </c>
      <c r="H202" s="6">
        <v>2.9600000000000001E-2</v>
      </c>
      <c r="I202">
        <f t="shared" si="3"/>
        <v>-3.5199809176521222</v>
      </c>
    </row>
    <row r="203" spans="1:9" x14ac:dyDescent="0.2">
      <c r="A203" s="1">
        <v>44805</v>
      </c>
      <c r="B203" s="2">
        <v>1.894088964E-2</v>
      </c>
      <c r="C203">
        <v>12.774433030641838</v>
      </c>
      <c r="D203">
        <v>-56.024472710001874</v>
      </c>
      <c r="E203">
        <v>17.087773921338126</v>
      </c>
      <c r="F203">
        <v>61040014.331245095</v>
      </c>
      <c r="G203">
        <v>19.262076090679532</v>
      </c>
      <c r="H203" s="6">
        <v>2.75E-2</v>
      </c>
      <c r="I203">
        <f t="shared" si="3"/>
        <v>-3.5935692743096115</v>
      </c>
    </row>
    <row r="204" spans="1:9" x14ac:dyDescent="0.2">
      <c r="A204" s="1">
        <v>44835</v>
      </c>
      <c r="B204" s="2">
        <v>2.8869842440000001E-2</v>
      </c>
      <c r="C204">
        <v>12.834588420638934</v>
      </c>
      <c r="D204">
        <v>-57.132870720000369</v>
      </c>
      <c r="E204">
        <v>17.046074492979507</v>
      </c>
      <c r="F204">
        <v>62155069.881369852</v>
      </c>
      <c r="G204">
        <v>19.264738318093809</v>
      </c>
      <c r="H204" s="6">
        <v>0.03</v>
      </c>
      <c r="I204">
        <f t="shared" si="3"/>
        <v>-3.5065578973199818</v>
      </c>
    </row>
    <row r="205" spans="1:9" x14ac:dyDescent="0.2">
      <c r="A205" s="1">
        <v>44866</v>
      </c>
      <c r="B205" s="2">
        <v>3.1706659769999999E-2</v>
      </c>
      <c r="C205">
        <v>12.618557523963567</v>
      </c>
      <c r="D205">
        <v>-153.70259726000188</v>
      </c>
      <c r="E205">
        <v>17.078395207828134</v>
      </c>
      <c r="F205">
        <v>64342829.819117248</v>
      </c>
      <c r="G205">
        <v>19.274026919163461</v>
      </c>
      <c r="H205" s="6">
        <v>0.03</v>
      </c>
      <c r="I205">
        <f t="shared" si="3"/>
        <v>-3.5065578973199818</v>
      </c>
    </row>
    <row r="206" spans="1:9" x14ac:dyDescent="0.2">
      <c r="A206" s="1">
        <v>44896</v>
      </c>
      <c r="B206" s="2">
        <v>3.1228682000000001E-2</v>
      </c>
      <c r="C206">
        <v>12.831502265155999</v>
      </c>
      <c r="D206">
        <v>-125.99822268000491</v>
      </c>
      <c r="E206">
        <v>17.075212670719662</v>
      </c>
      <c r="F206">
        <v>72812961.848830014</v>
      </c>
      <c r="G206">
        <v>19.309850618945397</v>
      </c>
      <c r="H206" s="6">
        <v>3.4500000000000003E-2</v>
      </c>
      <c r="I206">
        <f t="shared" si="3"/>
        <v>-3.366795954944823</v>
      </c>
    </row>
    <row r="207" spans="1:9" x14ac:dyDescent="0.2">
      <c r="A207" s="1">
        <v>44927</v>
      </c>
      <c r="B207" s="2">
        <v>3.1445590179999997E-2</v>
      </c>
      <c r="C207">
        <v>12.599622049436954</v>
      </c>
      <c r="D207">
        <v>-15.925036359985825</v>
      </c>
      <c r="E207">
        <v>17.026590286151603</v>
      </c>
      <c r="F207">
        <v>70877975.834626585</v>
      </c>
      <c r="G207">
        <v>19.288711313448012</v>
      </c>
      <c r="H207" s="6">
        <v>3.6000000000000004E-2</v>
      </c>
      <c r="I207">
        <f t="shared" si="3"/>
        <v>-3.3242363405260269</v>
      </c>
    </row>
    <row r="208" spans="1:9" x14ac:dyDescent="0.2">
      <c r="A208" s="1">
        <v>44958</v>
      </c>
      <c r="B208" s="2">
        <v>2.5653680929999999E-2</v>
      </c>
      <c r="C208">
        <v>12.46444987231571</v>
      </c>
      <c r="D208">
        <v>-73.264006309991373</v>
      </c>
      <c r="E208">
        <v>16.888149161950437</v>
      </c>
      <c r="F208">
        <v>72396182.601584256</v>
      </c>
      <c r="G208">
        <v>19.282897954177194</v>
      </c>
      <c r="H208" s="6">
        <v>3.7999999999999999E-2</v>
      </c>
      <c r="I208">
        <f t="shared" si="3"/>
        <v>-3.2701691192557512</v>
      </c>
    </row>
    <row r="209" spans="1:9" x14ac:dyDescent="0.2">
      <c r="A209" s="1">
        <v>44986</v>
      </c>
      <c r="B209" s="2">
        <v>2.5349790680000001E-2</v>
      </c>
      <c r="C209">
        <v>12.72161084763516</v>
      </c>
      <c r="D209">
        <v>-63.088528779999592</v>
      </c>
      <c r="E209">
        <v>16.876566350846694</v>
      </c>
      <c r="F209">
        <v>74496974.106863096</v>
      </c>
      <c r="G209">
        <v>19.278874724357753</v>
      </c>
      <c r="H209" s="6">
        <v>3.3000000000000002E-2</v>
      </c>
      <c r="I209">
        <f t="shared" si="3"/>
        <v>-3.4112477175156566</v>
      </c>
    </row>
    <row r="210" spans="1:9" x14ac:dyDescent="0.2">
      <c r="A210" s="1">
        <v>45017</v>
      </c>
      <c r="B210" s="2">
        <v>2.6954368149999998E-2</v>
      </c>
      <c r="C210">
        <v>12.601419098952842</v>
      </c>
      <c r="D210">
        <v>102.68440747001171</v>
      </c>
      <c r="E210">
        <v>16.891251127088605</v>
      </c>
      <c r="F210">
        <v>72478671.923805133</v>
      </c>
      <c r="G210">
        <v>19.27797161615776</v>
      </c>
      <c r="H210" s="6">
        <v>3.3500000000000002E-2</v>
      </c>
      <c r="I210">
        <f t="shared" si="3"/>
        <v>-3.396209840151116</v>
      </c>
    </row>
    <row r="211" spans="1:9" x14ac:dyDescent="0.2">
      <c r="A211" s="1">
        <v>45047</v>
      </c>
      <c r="B211" s="2">
        <v>2.8967949289999999E-2</v>
      </c>
      <c r="C211">
        <v>12.703895047660543</v>
      </c>
      <c r="D211">
        <v>5.3694328900138544</v>
      </c>
      <c r="E211">
        <v>16.823672559988402</v>
      </c>
      <c r="F211">
        <v>73322820.792505577</v>
      </c>
      <c r="G211">
        <v>19.277488863741226</v>
      </c>
      <c r="H211" s="6">
        <v>3.7000000000000005E-2</v>
      </c>
      <c r="I211">
        <f t="shared" si="3"/>
        <v>-3.2968373663379125</v>
      </c>
    </row>
    <row r="212" spans="1:9" x14ac:dyDescent="0.2">
      <c r="A212" s="1">
        <v>45078</v>
      </c>
      <c r="B212" s="2">
        <v>2.7252817509999999E-2</v>
      </c>
      <c r="C212">
        <v>12.673073411315942</v>
      </c>
      <c r="D212">
        <v>62.255752770008257</v>
      </c>
      <c r="E212">
        <v>16.701174429753117</v>
      </c>
      <c r="F212">
        <v>76547859.727395698</v>
      </c>
      <c r="G212">
        <v>19.282566903225533</v>
      </c>
      <c r="H212" s="6">
        <v>3.5799999999999998E-2</v>
      </c>
      <c r="I212">
        <f t="shared" si="3"/>
        <v>-3.3298073855754824</v>
      </c>
    </row>
    <row r="213" spans="1:9" x14ac:dyDescent="0.2">
      <c r="A213" s="1">
        <v>45108</v>
      </c>
      <c r="B213" s="2">
        <v>2.7008717930000002E-2</v>
      </c>
      <c r="C213">
        <v>12.698330092752034</v>
      </c>
      <c r="D213">
        <v>-43.694882499989035</v>
      </c>
      <c r="E213">
        <v>16.66266616957941</v>
      </c>
      <c r="F213">
        <v>78588671.488939285</v>
      </c>
      <c r="G213">
        <v>19.288935262697606</v>
      </c>
      <c r="H213" s="6">
        <v>3.3000000000000002E-2</v>
      </c>
      <c r="I213">
        <f t="shared" si="3"/>
        <v>-3.4112477175156566</v>
      </c>
    </row>
    <row r="214" spans="1:9" x14ac:dyDescent="0.2">
      <c r="A214" s="1">
        <v>45139</v>
      </c>
      <c r="B214" s="2">
        <v>3.058495973E-2</v>
      </c>
      <c r="C214">
        <v>12.835500082995635</v>
      </c>
      <c r="D214">
        <v>82.399485050014391</v>
      </c>
      <c r="E214">
        <v>16.505433882020384</v>
      </c>
      <c r="F214">
        <v>81300277.370993719</v>
      </c>
      <c r="G214">
        <v>19.294131046506724</v>
      </c>
      <c r="H214" s="6">
        <v>3.5000000000000003E-2</v>
      </c>
      <c r="I214">
        <f t="shared" si="3"/>
        <v>-3.3524072174927233</v>
      </c>
    </row>
    <row r="215" spans="1:9" x14ac:dyDescent="0.2">
      <c r="A215" s="1">
        <v>45170</v>
      </c>
      <c r="B215" s="2">
        <v>2.8478260389999999E-2</v>
      </c>
      <c r="C215">
        <v>12.74711678591715</v>
      </c>
      <c r="D215">
        <v>-118.90755184998545</v>
      </c>
      <c r="E215">
        <v>16.338742469272404</v>
      </c>
      <c r="F215">
        <v>84993017.568898827</v>
      </c>
      <c r="G215">
        <v>19.30092971432628</v>
      </c>
      <c r="H215" s="6">
        <v>3.4500000000000003E-2</v>
      </c>
      <c r="I215">
        <f t="shared" si="3"/>
        <v>-3.366795954944823</v>
      </c>
    </row>
    <row r="216" spans="1:9" x14ac:dyDescent="0.2">
      <c r="A216" s="1">
        <v>45200</v>
      </c>
      <c r="B216" s="2">
        <v>2.0754316419999998E-2</v>
      </c>
      <c r="C216">
        <v>12.831336778253149</v>
      </c>
      <c r="D216">
        <v>-65.745848439985025</v>
      </c>
      <c r="E216">
        <v>16.244292233829679</v>
      </c>
      <c r="F216">
        <v>88349976.237574607</v>
      </c>
      <c r="G216">
        <v>19.312266509465871</v>
      </c>
      <c r="H216" s="6">
        <v>3.5000000000000003E-2</v>
      </c>
      <c r="I216">
        <f t="shared" si="3"/>
        <v>-3.3524072174927233</v>
      </c>
    </row>
    <row r="217" spans="1:9" x14ac:dyDescent="0.2">
      <c r="A217" s="1">
        <v>45231</v>
      </c>
      <c r="B217" s="2">
        <v>1.5941445580000001E-2</v>
      </c>
      <c r="C217">
        <v>12.823298742011145</v>
      </c>
      <c r="D217">
        <v>-229.03567680999356</v>
      </c>
      <c r="E217">
        <v>16.26448087631216</v>
      </c>
      <c r="F217">
        <v>90505159.917576402</v>
      </c>
      <c r="G217">
        <v>19.320598500189814</v>
      </c>
      <c r="H217" s="6">
        <v>3.4000000000000002E-2</v>
      </c>
      <c r="I217">
        <f t="shared" si="3"/>
        <v>-3.3813947543659757</v>
      </c>
    </row>
    <row r="218" spans="1:9" x14ac:dyDescent="0.2">
      <c r="A218" s="1">
        <v>45261</v>
      </c>
      <c r="B218" s="2">
        <v>2.1183253409999998E-2</v>
      </c>
      <c r="C218">
        <v>12.74695739780995</v>
      </c>
      <c r="D218">
        <v>-213.64955406998399</v>
      </c>
      <c r="E218">
        <v>16.276884541628419</v>
      </c>
      <c r="F218">
        <v>101095645.13541642</v>
      </c>
      <c r="G218">
        <v>19.365319511194478</v>
      </c>
      <c r="H218" s="6">
        <v>3.2000000000000001E-2</v>
      </c>
      <c r="I218">
        <f t="shared" si="3"/>
        <v>-3.4420193761824103</v>
      </c>
    </row>
    <row r="219" spans="1:9" x14ac:dyDescent="0.2">
      <c r="A219" s="1">
        <v>45292</v>
      </c>
      <c r="B219" s="2">
        <v>1.8631475630000002E-2</v>
      </c>
      <c r="C219">
        <v>12.817222299627723</v>
      </c>
      <c r="D219">
        <v>-216.58432085998459</v>
      </c>
      <c r="E219">
        <v>16.220900339716319</v>
      </c>
      <c r="F219">
        <v>101240782.41738047</v>
      </c>
      <c r="G219">
        <v>19.358950197142168</v>
      </c>
      <c r="H219" s="6">
        <v>3.3000000000000002E-2</v>
      </c>
      <c r="I219">
        <f t="shared" si="3"/>
        <v>-3.4112477175156566</v>
      </c>
    </row>
    <row r="220" spans="1:9" x14ac:dyDescent="0.2">
      <c r="A220" s="1">
        <v>45323</v>
      </c>
      <c r="B220" s="2">
        <v>2.5166035299999997E-2</v>
      </c>
      <c r="C220">
        <v>12.569771233332897</v>
      </c>
      <c r="D220">
        <v>-135.21946420999348</v>
      </c>
      <c r="E220">
        <v>16.199822972928153</v>
      </c>
      <c r="F220">
        <v>102692358.88295263</v>
      </c>
      <c r="G220">
        <v>19.359584248612602</v>
      </c>
      <c r="H220" s="6">
        <v>0.03</v>
      </c>
      <c r="I220">
        <f t="shared" si="3"/>
        <v>-3.5065578973199818</v>
      </c>
    </row>
    <row r="221" spans="1:9" x14ac:dyDescent="0.2">
      <c r="A221" s="1">
        <v>45352</v>
      </c>
      <c r="B221" s="2">
        <v>3.0630850980000002E-2</v>
      </c>
      <c r="C221">
        <v>12.612049789192422</v>
      </c>
      <c r="D221">
        <v>-212.54200502998879</v>
      </c>
      <c r="E221">
        <v>16.258259472706172</v>
      </c>
      <c r="F221">
        <v>104771173.7920202</v>
      </c>
      <c r="G221">
        <v>19.364871186582857</v>
      </c>
      <c r="H221" s="6">
        <v>0.03</v>
      </c>
      <c r="I221">
        <f t="shared" si="3"/>
        <v>-3.5065578973199818</v>
      </c>
    </row>
    <row r="222" spans="1:9" x14ac:dyDescent="0.2">
      <c r="A222" s="1">
        <v>45383</v>
      </c>
      <c r="B222" s="2">
        <v>3.4600184780000001E-2</v>
      </c>
      <c r="C222">
        <v>12.662002926894885</v>
      </c>
      <c r="D222">
        <v>-7.8715190499939354</v>
      </c>
      <c r="E222">
        <v>16.32700123554639</v>
      </c>
      <c r="F222">
        <v>103866119.29963997</v>
      </c>
      <c r="G222">
        <v>19.367830728279749</v>
      </c>
      <c r="H222" s="6">
        <v>3.3500000000000002E-2</v>
      </c>
      <c r="I222">
        <f t="shared" si="3"/>
        <v>-3.396209840151116</v>
      </c>
    </row>
    <row r="223" spans="1:9" x14ac:dyDescent="0.2">
      <c r="A223" s="1">
        <v>45413</v>
      </c>
      <c r="B223" s="2">
        <v>3.5169942099999997E-2</v>
      </c>
      <c r="C223">
        <v>12.667373326242835</v>
      </c>
      <c r="D223">
        <v>-15.337813589983057</v>
      </c>
      <c r="E223">
        <v>16.403026789285025</v>
      </c>
      <c r="F223">
        <v>104696706.57854863</v>
      </c>
      <c r="G223">
        <v>19.371896787191378</v>
      </c>
      <c r="H223" s="6">
        <v>3.5799999999999998E-2</v>
      </c>
      <c r="I223">
        <f t="shared" si="3"/>
        <v>-3.3298073855754824</v>
      </c>
    </row>
    <row r="224" spans="1:9" x14ac:dyDescent="0.2">
      <c r="A224" s="1">
        <v>45444</v>
      </c>
      <c r="B224" s="2">
        <v>3.8443561469999998E-2</v>
      </c>
      <c r="C224">
        <v>12.689756383308048</v>
      </c>
      <c r="D224">
        <v>155.38356671000884</v>
      </c>
      <c r="E224">
        <v>16.350393640413152</v>
      </c>
      <c r="F224">
        <v>108428984.64326592</v>
      </c>
      <c r="G224">
        <v>19.385317095636672</v>
      </c>
      <c r="H224" s="6">
        <v>3.6000000000000004E-2</v>
      </c>
      <c r="I224">
        <f t="shared" si="3"/>
        <v>-3.3242363405260269</v>
      </c>
    </row>
    <row r="225" spans="1:9" x14ac:dyDescent="0.2">
      <c r="A225" s="1">
        <v>45474</v>
      </c>
      <c r="B225" s="2">
        <v>3.9537065390000001E-2</v>
      </c>
      <c r="C225">
        <v>12.691831229866812</v>
      </c>
      <c r="D225">
        <v>-230.45090025999059</v>
      </c>
      <c r="E225">
        <v>16.340146224655438</v>
      </c>
      <c r="F225">
        <v>110928758.59527297</v>
      </c>
      <c r="G225">
        <v>19.392563977100309</v>
      </c>
      <c r="H225" s="6">
        <v>4.0999999999999995E-2</v>
      </c>
      <c r="I225">
        <f t="shared" si="3"/>
        <v>-3.1941832122778293</v>
      </c>
    </row>
    <row r="226" spans="1:9" x14ac:dyDescent="0.2">
      <c r="A226" s="1">
        <v>45505</v>
      </c>
      <c r="B226" s="2">
        <v>5.1928689840000007E-2</v>
      </c>
      <c r="C226">
        <v>12.816493779261309</v>
      </c>
      <c r="D226">
        <v>4.1308712800072271</v>
      </c>
      <c r="E226">
        <v>16.385846392426942</v>
      </c>
      <c r="F226">
        <v>112627166.96527046</v>
      </c>
      <c r="G226">
        <v>19.398700734894391</v>
      </c>
      <c r="H226" s="6">
        <v>4.5499999999999999E-2</v>
      </c>
      <c r="I226">
        <f t="shared" si="3"/>
        <v>-3.0900429530252325</v>
      </c>
    </row>
    <row r="227" spans="1:9" x14ac:dyDescent="0.2">
      <c r="A227" s="1">
        <v>45536</v>
      </c>
      <c r="B227" s="2">
        <v>6.1820669339999995E-2</v>
      </c>
      <c r="C227">
        <v>12.776967103750239</v>
      </c>
      <c r="D227">
        <v>60.308867680006415</v>
      </c>
      <c r="E227">
        <v>16.417408920546642</v>
      </c>
      <c r="F227">
        <v>116965094.65022884</v>
      </c>
      <c r="G227">
        <v>19.413928666690349</v>
      </c>
      <c r="H227" s="6">
        <v>5.7000000000000002E-2</v>
      </c>
      <c r="I227">
        <f t="shared" si="3"/>
        <v>-2.864704011147587</v>
      </c>
    </row>
    <row r="228" spans="1:9" x14ac:dyDescent="0.2">
      <c r="A228" s="1">
        <v>45566</v>
      </c>
      <c r="B228" s="2">
        <v>7.9389641380000001E-2</v>
      </c>
      <c r="C228">
        <v>12.828557123711247</v>
      </c>
      <c r="D228">
        <v>-68.967570389982143</v>
      </c>
      <c r="E228">
        <v>16.466517151216877</v>
      </c>
      <c r="F228">
        <v>119695807.76673597</v>
      </c>
      <c r="G228">
        <v>19.425486759726603</v>
      </c>
      <c r="H228" s="6">
        <v>0.06</v>
      </c>
      <c r="I228">
        <f t="shared" si="3"/>
        <v>-2.8134107167600364</v>
      </c>
    </row>
    <row r="229" spans="1:9" x14ac:dyDescent="0.2">
      <c r="A229" s="1">
        <v>45597</v>
      </c>
      <c r="B229" s="2">
        <v>9.5060906170000001E-2</v>
      </c>
      <c r="C229">
        <v>12.852362677441802</v>
      </c>
      <c r="D229">
        <v>-80.533121019992109</v>
      </c>
      <c r="E229">
        <v>16.410136133802759</v>
      </c>
      <c r="F229">
        <v>121799306.6103871</v>
      </c>
      <c r="G229">
        <v>19.432182057243853</v>
      </c>
      <c r="H229" s="6">
        <v>7.4999999999999997E-2</v>
      </c>
      <c r="I229">
        <f t="shared" si="3"/>
        <v>-2.5902671654458267</v>
      </c>
    </row>
    <row r="230" spans="1:9" x14ac:dyDescent="0.2">
      <c r="A230" s="1">
        <v>45627</v>
      </c>
      <c r="B230" s="2">
        <v>9.9738505340000005E-2</v>
      </c>
      <c r="C230">
        <v>12.864248599067421</v>
      </c>
      <c r="D230">
        <v>-97.600577829996041</v>
      </c>
      <c r="E230">
        <v>16.422567494626115</v>
      </c>
      <c r="F230">
        <v>128919775.1737639</v>
      </c>
      <c r="G230">
        <v>19.465333562679035</v>
      </c>
      <c r="H230" s="6">
        <v>9.5000000000000001E-2</v>
      </c>
      <c r="I230">
        <f t="shared" si="3"/>
        <v>-2.353878387381596</v>
      </c>
    </row>
    <row r="231" spans="1:9" x14ac:dyDescent="0.2">
      <c r="A231" s="1">
        <v>45658</v>
      </c>
      <c r="B231" s="2">
        <v>0.12034366520000001</v>
      </c>
      <c r="C231">
        <v>12.692139658777979</v>
      </c>
      <c r="D231">
        <v>-152.65075782998372</v>
      </c>
      <c r="E231">
        <v>16.484756717453728</v>
      </c>
      <c r="F231">
        <v>129334052.11504731</v>
      </c>
      <c r="G231">
        <v>19.463663744769622</v>
      </c>
      <c r="H231" s="6">
        <v>7.7800000000000008E-2</v>
      </c>
      <c r="I231">
        <f t="shared" si="3"/>
        <v>-2.553613847797791</v>
      </c>
    </row>
    <row r="232" spans="1:9" x14ac:dyDescent="0.2">
      <c r="A232" s="1">
        <v>45689</v>
      </c>
      <c r="B232" s="2">
        <v>0.13223088120000001</v>
      </c>
      <c r="C232">
        <v>12.619661334490988</v>
      </c>
      <c r="D232">
        <v>-240.82258045998685</v>
      </c>
      <c r="E232">
        <v>16.524163101628176</v>
      </c>
      <c r="F232">
        <v>132763756.04189713</v>
      </c>
      <c r="G232">
        <v>19.475699398871384</v>
      </c>
      <c r="H232" s="6">
        <v>9.5000000000000001E-2</v>
      </c>
      <c r="I232">
        <f t="shared" si="3"/>
        <v>-2.353878387381596</v>
      </c>
    </row>
    <row r="233" spans="1:9" x14ac:dyDescent="0.2">
      <c r="A233" s="1">
        <v>45717</v>
      </c>
      <c r="B233" s="2">
        <v>0.1463391362</v>
      </c>
      <c r="C233">
        <v>12.442734846737203</v>
      </c>
      <c r="D233">
        <v>-39.656492059993866</v>
      </c>
      <c r="E233">
        <v>16.574998452032478</v>
      </c>
      <c r="F233">
        <v>131691440.04661688</v>
      </c>
      <c r="G233">
        <v>19.476024815801036</v>
      </c>
      <c r="H233" s="6">
        <v>0.13</v>
      </c>
      <c r="I233">
        <f t="shared" si="3"/>
        <v>-2.0402208285265546</v>
      </c>
    </row>
    <row r="234" spans="1:9" x14ac:dyDescent="0.2">
      <c r="A234" s="1">
        <v>45748</v>
      </c>
      <c r="B234" s="2">
        <v>0.1500506704</v>
      </c>
      <c r="C234">
        <v>12.650274182878409</v>
      </c>
      <c r="D234">
        <v>-156.10065219998899</v>
      </c>
      <c r="E234">
        <v>16.703685950529955</v>
      </c>
      <c r="F234">
        <v>129256592.52181804</v>
      </c>
      <c r="G234">
        <v>19.469587781592082</v>
      </c>
      <c r="H234" s="6">
        <v>0.15</v>
      </c>
      <c r="I234">
        <f t="shared" si="3"/>
        <v>-1.8971199848858813</v>
      </c>
    </row>
    <row r="235" spans="1:9" x14ac:dyDescent="0.2">
      <c r="A235" s="1">
        <v>45778</v>
      </c>
      <c r="B235" s="2">
        <v>0.18456543119999999</v>
      </c>
      <c r="C235">
        <v>12.850973988747956</v>
      </c>
      <c r="D235">
        <v>9.8872082800077123</v>
      </c>
      <c r="E235">
        <v>16.665228353447102</v>
      </c>
      <c r="F235">
        <v>131398756.49929293</v>
      </c>
      <c r="G235">
        <v>19.475788385019534</v>
      </c>
      <c r="H235" s="6">
        <v>0.15</v>
      </c>
      <c r="I235">
        <f t="shared" si="3"/>
        <v>-1.8971199848858813</v>
      </c>
    </row>
    <row r="236" spans="1:9" x14ac:dyDescent="0.2">
      <c r="A236" s="1">
        <v>45809</v>
      </c>
      <c r="B236" s="2">
        <v>0.23961224850000001</v>
      </c>
      <c r="C236">
        <v>12.633671094083786</v>
      </c>
      <c r="D236">
        <v>57.489108210006862</v>
      </c>
      <c r="E236">
        <v>16.77331829275353</v>
      </c>
      <c r="F236">
        <v>133039380.12574053</v>
      </c>
      <c r="G236">
        <v>19.481213520015253</v>
      </c>
      <c r="H236" s="6">
        <v>0.15</v>
      </c>
      <c r="I236">
        <f t="shared" si="3"/>
        <v>-1.8971199848858813</v>
      </c>
    </row>
    <row r="237" spans="1:9" x14ac:dyDescent="0.2">
      <c r="A237" s="1">
        <v>45839</v>
      </c>
      <c r="B237" s="2">
        <v>0.2485664518</v>
      </c>
      <c r="C237">
        <v>12.826008605580579</v>
      </c>
      <c r="D237">
        <v>27.75911209000526</v>
      </c>
      <c r="E237">
        <v>16.743948292834062</v>
      </c>
      <c r="F237">
        <v>137208878.43973732</v>
      </c>
      <c r="G237">
        <v>19.485875104224132</v>
      </c>
      <c r="H237" s="6">
        <v>0.15</v>
      </c>
      <c r="I237">
        <f t="shared" si="3"/>
        <v>-1.8971199848858813</v>
      </c>
    </row>
    <row r="238" spans="1:9" x14ac:dyDescent="0.2">
      <c r="A238" s="1">
        <v>45870</v>
      </c>
      <c r="B238" s="2">
        <v>0.24149391550000002</v>
      </c>
      <c r="C238">
        <v>12.679190888078258</v>
      </c>
      <c r="D238">
        <v>-127.25896333998639</v>
      </c>
      <c r="E238">
        <v>16.799437261798765</v>
      </c>
      <c r="F238">
        <v>141100814.17668465</v>
      </c>
      <c r="G238">
        <v>19.495305226188087</v>
      </c>
      <c r="H238" s="6">
        <v>0.19649999999999998</v>
      </c>
      <c r="I238">
        <f t="shared" si="3"/>
        <v>-1.6270928476728213</v>
      </c>
    </row>
    <row r="262" spans="1:7" x14ac:dyDescent="0.2">
      <c r="A262" s="1"/>
      <c r="B262" s="2"/>
      <c r="F262" s="1"/>
    </row>
    <row r="263" spans="1:7" x14ac:dyDescent="0.2">
      <c r="F263" s="1"/>
      <c r="G263" s="1"/>
    </row>
    <row r="264" spans="1:7" x14ac:dyDescent="0.2">
      <c r="F264" s="1"/>
      <c r="G264" s="1"/>
    </row>
    <row r="265" spans="1:7" x14ac:dyDescent="0.2">
      <c r="F265" s="1"/>
      <c r="G265" s="1"/>
    </row>
    <row r="266" spans="1:7" x14ac:dyDescent="0.2">
      <c r="F266" s="1"/>
      <c r="G266" s="1"/>
    </row>
    <row r="267" spans="1:7" x14ac:dyDescent="0.2">
      <c r="F267" s="1"/>
      <c r="G267" s="1"/>
    </row>
    <row r="268" spans="1:7" x14ac:dyDescent="0.2">
      <c r="F268" s="1"/>
      <c r="G268" s="1"/>
    </row>
    <row r="269" spans="1:7" x14ac:dyDescent="0.2">
      <c r="F269" s="1"/>
      <c r="G269" s="1"/>
    </row>
    <row r="270" spans="1:7" x14ac:dyDescent="0.2">
      <c r="F270" s="1"/>
      <c r="G270" s="1"/>
    </row>
    <row r="271" spans="1:7" x14ac:dyDescent="0.2">
      <c r="F271" s="1"/>
      <c r="G271" s="1"/>
    </row>
    <row r="272" spans="1:7" x14ac:dyDescent="0.2">
      <c r="F272" s="1"/>
      <c r="G272" s="1"/>
    </row>
    <row r="273" spans="6:7" x14ac:dyDescent="0.2">
      <c r="F273" s="1"/>
      <c r="G273" s="1"/>
    </row>
    <row r="274" spans="6:7" x14ac:dyDescent="0.2">
      <c r="F274" s="1"/>
      <c r="G274" s="1"/>
    </row>
    <row r="275" spans="6:7" x14ac:dyDescent="0.2">
      <c r="F275" s="1"/>
      <c r="G275" s="1"/>
    </row>
    <row r="276" spans="6:7" x14ac:dyDescent="0.2">
      <c r="F276" s="1"/>
      <c r="G276" s="1"/>
    </row>
    <row r="277" spans="6:7" x14ac:dyDescent="0.2">
      <c r="F277" s="1"/>
      <c r="G277" s="1"/>
    </row>
    <row r="278" spans="6:7" x14ac:dyDescent="0.2">
      <c r="F278" s="1"/>
      <c r="G278" s="1"/>
    </row>
    <row r="279" spans="6:7" x14ac:dyDescent="0.2">
      <c r="F279" s="1"/>
      <c r="G279" s="1"/>
    </row>
    <row r="280" spans="6:7" x14ac:dyDescent="0.2">
      <c r="F280" s="1"/>
      <c r="G280" s="1"/>
    </row>
    <row r="281" spans="6:7" x14ac:dyDescent="0.2">
      <c r="F281" s="1"/>
      <c r="G281" s="1"/>
    </row>
    <row r="282" spans="6:7" x14ac:dyDescent="0.2">
      <c r="F282" s="1"/>
      <c r="G282" s="1"/>
    </row>
    <row r="283" spans="6:7" x14ac:dyDescent="0.2">
      <c r="F283" s="1"/>
      <c r="G283" s="1"/>
    </row>
    <row r="284" spans="6:7" x14ac:dyDescent="0.2">
      <c r="F284" s="1"/>
      <c r="G284" s="1"/>
    </row>
    <row r="285" spans="6:7" x14ac:dyDescent="0.2">
      <c r="F285" s="1"/>
      <c r="G285" s="1"/>
    </row>
    <row r="286" spans="6:7" x14ac:dyDescent="0.2">
      <c r="F286" s="1"/>
      <c r="G286" s="1"/>
    </row>
    <row r="287" spans="6:7" x14ac:dyDescent="0.2">
      <c r="F287" s="1"/>
      <c r="G287" s="1"/>
    </row>
    <row r="288" spans="6:7" x14ac:dyDescent="0.2">
      <c r="F288" s="1"/>
      <c r="G288" s="1"/>
    </row>
    <row r="289" spans="6:7" x14ac:dyDescent="0.2">
      <c r="F289" s="1"/>
      <c r="G289" s="1"/>
    </row>
    <row r="290" spans="6:7" x14ac:dyDescent="0.2">
      <c r="F290" s="1"/>
      <c r="G290" s="1"/>
    </row>
    <row r="291" spans="6:7" x14ac:dyDescent="0.2">
      <c r="F291" s="1"/>
      <c r="G291" s="1"/>
    </row>
    <row r="292" spans="6:7" x14ac:dyDescent="0.2">
      <c r="F292" s="1"/>
      <c r="G292" s="1"/>
    </row>
    <row r="293" spans="6:7" x14ac:dyDescent="0.2">
      <c r="F293" s="1"/>
      <c r="G293" s="1"/>
    </row>
    <row r="294" spans="6:7" x14ac:dyDescent="0.2">
      <c r="F294" s="1"/>
      <c r="G294" s="1"/>
    </row>
    <row r="295" spans="6:7" x14ac:dyDescent="0.2">
      <c r="F295" s="1"/>
      <c r="G295" s="1"/>
    </row>
    <row r="296" spans="6:7" x14ac:dyDescent="0.2">
      <c r="F296" s="1"/>
      <c r="G296" s="1"/>
    </row>
    <row r="297" spans="6:7" x14ac:dyDescent="0.2">
      <c r="F297" s="1"/>
      <c r="G297" s="1"/>
    </row>
    <row r="298" spans="6:7" x14ac:dyDescent="0.2">
      <c r="F298" s="1"/>
      <c r="G298" s="1"/>
    </row>
    <row r="299" spans="6:7" x14ac:dyDescent="0.2">
      <c r="F299" s="1"/>
      <c r="G299" s="1"/>
    </row>
    <row r="300" spans="6:7" x14ac:dyDescent="0.2">
      <c r="F300" s="1"/>
      <c r="G300" s="1"/>
    </row>
    <row r="301" spans="6:7" x14ac:dyDescent="0.2">
      <c r="F301" s="1"/>
      <c r="G301" s="1"/>
    </row>
    <row r="302" spans="6:7" x14ac:dyDescent="0.2">
      <c r="F302" s="1"/>
      <c r="G302" s="1"/>
    </row>
    <row r="303" spans="6:7" x14ac:dyDescent="0.2">
      <c r="F303" s="1"/>
      <c r="G303" s="1"/>
    </row>
    <row r="304" spans="6:7" x14ac:dyDescent="0.2">
      <c r="F304" s="1"/>
      <c r="G304" s="1"/>
    </row>
    <row r="305" spans="6:7" x14ac:dyDescent="0.2">
      <c r="F305" s="1"/>
      <c r="G305" s="1"/>
    </row>
    <row r="306" spans="6:7" x14ac:dyDescent="0.2">
      <c r="F306" s="1"/>
      <c r="G306" s="1"/>
    </row>
    <row r="307" spans="6:7" x14ac:dyDescent="0.2">
      <c r="F307" s="1"/>
      <c r="G307" s="1"/>
    </row>
    <row r="308" spans="6:7" x14ac:dyDescent="0.2">
      <c r="F308" s="1"/>
      <c r="G308" s="1"/>
    </row>
    <row r="309" spans="6:7" x14ac:dyDescent="0.2">
      <c r="F309" s="1"/>
      <c r="G309" s="1"/>
    </row>
    <row r="310" spans="6:7" x14ac:dyDescent="0.2">
      <c r="F310" s="1"/>
      <c r="G310" s="1"/>
    </row>
    <row r="311" spans="6:7" x14ac:dyDescent="0.2">
      <c r="F311" s="1"/>
      <c r="G311" s="1"/>
    </row>
    <row r="312" spans="6:7" x14ac:dyDescent="0.2">
      <c r="F312" s="1"/>
      <c r="G312" s="1"/>
    </row>
    <row r="313" spans="6:7" x14ac:dyDescent="0.2">
      <c r="F313" s="1"/>
      <c r="G313" s="1"/>
    </row>
    <row r="314" spans="6:7" x14ac:dyDescent="0.2">
      <c r="F314" s="1"/>
      <c r="G314" s="1"/>
    </row>
    <row r="315" spans="6:7" x14ac:dyDescent="0.2">
      <c r="F315" s="1"/>
      <c r="G315" s="1"/>
    </row>
    <row r="316" spans="6:7" x14ac:dyDescent="0.2">
      <c r="F316" s="1"/>
      <c r="G316" s="1"/>
    </row>
    <row r="317" spans="6:7" x14ac:dyDescent="0.2">
      <c r="F317" s="1"/>
      <c r="G317" s="1"/>
    </row>
    <row r="318" spans="6:7" x14ac:dyDescent="0.2">
      <c r="F318" s="1"/>
      <c r="G318" s="1"/>
    </row>
    <row r="319" spans="6:7" x14ac:dyDescent="0.2">
      <c r="F319" s="1"/>
      <c r="G319" s="1"/>
    </row>
    <row r="320" spans="6:7" x14ac:dyDescent="0.2">
      <c r="F320" s="1"/>
      <c r="G320" s="1"/>
    </row>
    <row r="321" spans="6:7" x14ac:dyDescent="0.2">
      <c r="F321" s="1"/>
      <c r="G321" s="1"/>
    </row>
    <row r="322" spans="6:7" x14ac:dyDescent="0.2">
      <c r="F322" s="1"/>
      <c r="G322" s="1"/>
    </row>
    <row r="323" spans="6:7" x14ac:dyDescent="0.2">
      <c r="F323" s="1"/>
      <c r="G323" s="1"/>
    </row>
    <row r="324" spans="6:7" x14ac:dyDescent="0.2">
      <c r="F324" s="1"/>
      <c r="G324" s="1"/>
    </row>
    <row r="325" spans="6:7" x14ac:dyDescent="0.2">
      <c r="F325" s="1"/>
      <c r="G325" s="1"/>
    </row>
    <row r="326" spans="6:7" x14ac:dyDescent="0.2">
      <c r="F326" s="1"/>
      <c r="G326" s="1"/>
    </row>
    <row r="327" spans="6:7" x14ac:dyDescent="0.2">
      <c r="F327" s="1"/>
      <c r="G327" s="1"/>
    </row>
    <row r="328" spans="6:7" x14ac:dyDescent="0.2">
      <c r="F328" s="1"/>
      <c r="G328" s="1"/>
    </row>
    <row r="329" spans="6:7" x14ac:dyDescent="0.2">
      <c r="F329" s="1"/>
      <c r="G329" s="1"/>
    </row>
    <row r="330" spans="6:7" x14ac:dyDescent="0.2">
      <c r="F330" s="1"/>
      <c r="G330" s="1"/>
    </row>
    <row r="331" spans="6:7" x14ac:dyDescent="0.2">
      <c r="F331" s="1"/>
      <c r="G331" s="1"/>
    </row>
    <row r="332" spans="6:7" x14ac:dyDescent="0.2">
      <c r="F332" s="1"/>
      <c r="G332" s="1"/>
    </row>
    <row r="333" spans="6:7" x14ac:dyDescent="0.2">
      <c r="F333" s="1"/>
      <c r="G333" s="1"/>
    </row>
    <row r="334" spans="6:7" x14ac:dyDescent="0.2">
      <c r="F334" s="1"/>
      <c r="G334" s="1"/>
    </row>
    <row r="335" spans="6:7" x14ac:dyDescent="0.2">
      <c r="F335" s="1"/>
      <c r="G335" s="1"/>
    </row>
    <row r="336" spans="6:7" x14ac:dyDescent="0.2">
      <c r="F336" s="1"/>
      <c r="G336" s="1"/>
    </row>
    <row r="337" spans="6:7" x14ac:dyDescent="0.2">
      <c r="F337" s="1"/>
      <c r="G337" s="1"/>
    </row>
    <row r="338" spans="6:7" x14ac:dyDescent="0.2">
      <c r="F338" s="1"/>
      <c r="G338" s="1"/>
    </row>
    <row r="339" spans="6:7" x14ac:dyDescent="0.2">
      <c r="F339" s="1"/>
      <c r="G339" s="1"/>
    </row>
    <row r="340" spans="6:7" x14ac:dyDescent="0.2">
      <c r="F340" s="1"/>
      <c r="G340" s="1"/>
    </row>
    <row r="341" spans="6:7" x14ac:dyDescent="0.2">
      <c r="F341" s="1"/>
      <c r="G341" s="1"/>
    </row>
    <row r="342" spans="6:7" x14ac:dyDescent="0.2">
      <c r="F342" s="1"/>
      <c r="G342" s="1"/>
    </row>
    <row r="343" spans="6:7" x14ac:dyDescent="0.2">
      <c r="F343" s="1"/>
      <c r="G343" s="1"/>
    </row>
    <row r="344" spans="6:7" x14ac:dyDescent="0.2">
      <c r="F344" s="1"/>
      <c r="G344" s="1"/>
    </row>
    <row r="345" spans="6:7" x14ac:dyDescent="0.2">
      <c r="F345" s="1"/>
      <c r="G345" s="1"/>
    </row>
    <row r="346" spans="6:7" x14ac:dyDescent="0.2">
      <c r="F346" s="1"/>
      <c r="G346" s="1"/>
    </row>
    <row r="347" spans="6:7" x14ac:dyDescent="0.2">
      <c r="F347" s="1"/>
      <c r="G347" s="1"/>
    </row>
    <row r="348" spans="6:7" x14ac:dyDescent="0.2">
      <c r="F348" s="1"/>
      <c r="G348" s="1"/>
    </row>
    <row r="349" spans="6:7" x14ac:dyDescent="0.2">
      <c r="F349" s="1"/>
      <c r="G349" s="1"/>
    </row>
    <row r="350" spans="6:7" x14ac:dyDescent="0.2">
      <c r="F350" s="1"/>
      <c r="G350" s="1"/>
    </row>
    <row r="351" spans="6:7" x14ac:dyDescent="0.2">
      <c r="F351" s="1"/>
      <c r="G351" s="1"/>
    </row>
    <row r="352" spans="6:7" x14ac:dyDescent="0.2">
      <c r="F352" s="1"/>
      <c r="G352" s="1"/>
    </row>
    <row r="353" spans="6:7" x14ac:dyDescent="0.2">
      <c r="F353" s="1"/>
      <c r="G353" s="1"/>
    </row>
    <row r="354" spans="6:7" x14ac:dyDescent="0.2">
      <c r="F354" s="1"/>
      <c r="G354" s="1"/>
    </row>
    <row r="355" spans="6:7" x14ac:dyDescent="0.2">
      <c r="F355" s="1"/>
      <c r="G355" s="1"/>
    </row>
    <row r="356" spans="6:7" x14ac:dyDescent="0.2">
      <c r="F356" s="1"/>
      <c r="G356" s="1"/>
    </row>
    <row r="357" spans="6:7" x14ac:dyDescent="0.2">
      <c r="F357" s="1"/>
      <c r="G357" s="1"/>
    </row>
    <row r="358" spans="6:7" x14ac:dyDescent="0.2">
      <c r="F358" s="1"/>
      <c r="G358" s="1"/>
    </row>
    <row r="359" spans="6:7" x14ac:dyDescent="0.2">
      <c r="F359" s="1"/>
      <c r="G359" s="1"/>
    </row>
    <row r="360" spans="6:7" x14ac:dyDescent="0.2">
      <c r="F360" s="1"/>
      <c r="G360" s="1"/>
    </row>
    <row r="361" spans="6:7" x14ac:dyDescent="0.2">
      <c r="F361" s="1"/>
      <c r="G361" s="1"/>
    </row>
    <row r="362" spans="6:7" x14ac:dyDescent="0.2">
      <c r="F362" s="1"/>
      <c r="G362" s="1"/>
    </row>
    <row r="363" spans="6:7" x14ac:dyDescent="0.2">
      <c r="F363" s="1"/>
      <c r="G363" s="1"/>
    </row>
    <row r="364" spans="6:7" x14ac:dyDescent="0.2">
      <c r="F364" s="1"/>
      <c r="G364" s="1"/>
    </row>
    <row r="365" spans="6:7" x14ac:dyDescent="0.2">
      <c r="F365" s="1"/>
      <c r="G365" s="1"/>
    </row>
    <row r="366" spans="6:7" x14ac:dyDescent="0.2">
      <c r="F366" s="1"/>
      <c r="G366" s="1"/>
    </row>
    <row r="367" spans="6:7" x14ac:dyDescent="0.2">
      <c r="F367" s="1"/>
      <c r="G367" s="1"/>
    </row>
    <row r="368" spans="6:7" x14ac:dyDescent="0.2">
      <c r="F368" s="1"/>
      <c r="G368" s="1"/>
    </row>
    <row r="369" spans="6:7" x14ac:dyDescent="0.2">
      <c r="F369" s="1"/>
      <c r="G369" s="1"/>
    </row>
    <row r="370" spans="6:7" x14ac:dyDescent="0.2">
      <c r="F370" s="1"/>
      <c r="G370" s="1"/>
    </row>
    <row r="371" spans="6:7" x14ac:dyDescent="0.2">
      <c r="F371" s="1"/>
      <c r="G371" s="1"/>
    </row>
    <row r="372" spans="6:7" x14ac:dyDescent="0.2">
      <c r="F372" s="1"/>
      <c r="G372" s="1"/>
    </row>
    <row r="373" spans="6:7" x14ac:dyDescent="0.2">
      <c r="F373" s="1"/>
      <c r="G373" s="1"/>
    </row>
    <row r="374" spans="6:7" x14ac:dyDescent="0.2">
      <c r="F374" s="1"/>
      <c r="G374" s="1"/>
    </row>
    <row r="375" spans="6:7" x14ac:dyDescent="0.2">
      <c r="F375" s="1"/>
      <c r="G375" s="1"/>
    </row>
    <row r="376" spans="6:7" x14ac:dyDescent="0.2">
      <c r="F376" s="1"/>
      <c r="G376" s="1"/>
    </row>
    <row r="377" spans="6:7" x14ac:dyDescent="0.2">
      <c r="F377" s="1"/>
      <c r="G377" s="1"/>
    </row>
    <row r="378" spans="6:7" x14ac:dyDescent="0.2">
      <c r="F378" s="1"/>
      <c r="G378" s="1"/>
    </row>
    <row r="379" spans="6:7" x14ac:dyDescent="0.2">
      <c r="F379" s="1"/>
      <c r="G379" s="1"/>
    </row>
    <row r="380" spans="6:7" x14ac:dyDescent="0.2">
      <c r="F380" s="1"/>
      <c r="G380" s="1"/>
    </row>
    <row r="381" spans="6:7" x14ac:dyDescent="0.2">
      <c r="F381" s="1"/>
      <c r="G381" s="1"/>
    </row>
    <row r="382" spans="6:7" x14ac:dyDescent="0.2">
      <c r="F382" s="1"/>
      <c r="G382" s="1"/>
    </row>
    <row r="383" spans="6:7" x14ac:dyDescent="0.2">
      <c r="F383" s="1"/>
      <c r="G383" s="1"/>
    </row>
    <row r="384" spans="6:7" x14ac:dyDescent="0.2">
      <c r="F384" s="1"/>
      <c r="G384" s="1"/>
    </row>
    <row r="385" spans="6:7" x14ac:dyDescent="0.2">
      <c r="F385" s="1"/>
      <c r="G385" s="1"/>
    </row>
    <row r="386" spans="6:7" x14ac:dyDescent="0.2">
      <c r="F386" s="1"/>
      <c r="G386" s="1"/>
    </row>
    <row r="387" spans="6:7" x14ac:dyDescent="0.2">
      <c r="F387" s="1"/>
      <c r="G387" s="1"/>
    </row>
    <row r="388" spans="6:7" x14ac:dyDescent="0.2">
      <c r="F388" s="1"/>
      <c r="G388" s="1"/>
    </row>
    <row r="389" spans="6:7" x14ac:dyDescent="0.2">
      <c r="F389" s="1"/>
      <c r="G389" s="1"/>
    </row>
    <row r="390" spans="6:7" x14ac:dyDescent="0.2">
      <c r="F390" s="1"/>
      <c r="G390" s="1"/>
    </row>
    <row r="391" spans="6:7" x14ac:dyDescent="0.2">
      <c r="F391" s="1"/>
      <c r="G391" s="1"/>
    </row>
    <row r="392" spans="6:7" x14ac:dyDescent="0.2">
      <c r="F392" s="1"/>
      <c r="G392" s="1"/>
    </row>
    <row r="393" spans="6:7" x14ac:dyDescent="0.2">
      <c r="F393" s="1"/>
      <c r="G393" s="1"/>
    </row>
    <row r="394" spans="6:7" x14ac:dyDescent="0.2">
      <c r="F394" s="1"/>
      <c r="G394" s="1"/>
    </row>
    <row r="395" spans="6:7" x14ac:dyDescent="0.2">
      <c r="F395" s="1"/>
      <c r="G395" s="1"/>
    </row>
    <row r="396" spans="6:7" x14ac:dyDescent="0.2">
      <c r="F396" s="1"/>
      <c r="G396" s="1"/>
    </row>
    <row r="397" spans="6:7" x14ac:dyDescent="0.2">
      <c r="F397" s="1"/>
      <c r="G397" s="1"/>
    </row>
    <row r="398" spans="6:7" x14ac:dyDescent="0.2">
      <c r="F398" s="1"/>
      <c r="G398" s="1"/>
    </row>
    <row r="399" spans="6:7" x14ac:dyDescent="0.2">
      <c r="F399" s="1"/>
      <c r="G399" s="1"/>
    </row>
    <row r="400" spans="6:7" x14ac:dyDescent="0.2">
      <c r="F400" s="1"/>
      <c r="G400" s="1"/>
    </row>
    <row r="401" spans="6:7" x14ac:dyDescent="0.2">
      <c r="F401" s="1"/>
      <c r="G401" s="1"/>
    </row>
    <row r="402" spans="6:7" x14ac:dyDescent="0.2">
      <c r="F402" s="1"/>
      <c r="G402" s="1"/>
    </row>
    <row r="403" spans="6:7" x14ac:dyDescent="0.2">
      <c r="F403" s="1"/>
      <c r="G403" s="1"/>
    </row>
    <row r="404" spans="6:7" x14ac:dyDescent="0.2">
      <c r="F404" s="1"/>
      <c r="G404" s="1"/>
    </row>
    <row r="405" spans="6:7" x14ac:dyDescent="0.2">
      <c r="F405" s="1"/>
      <c r="G405" s="1"/>
    </row>
    <row r="406" spans="6:7" x14ac:dyDescent="0.2">
      <c r="F406" s="1"/>
      <c r="G406" s="1"/>
    </row>
    <row r="407" spans="6:7" x14ac:dyDescent="0.2">
      <c r="F407" s="1"/>
    </row>
    <row r="408" spans="6:7" x14ac:dyDescent="0.2">
      <c r="F408" s="1"/>
    </row>
    <row r="409" spans="6:7" x14ac:dyDescent="0.2">
      <c r="F409" s="1"/>
    </row>
    <row r="410" spans="6:7" x14ac:dyDescent="0.2">
      <c r="F410" s="1"/>
    </row>
    <row r="411" spans="6:7" x14ac:dyDescent="0.2">
      <c r="F411" s="1"/>
    </row>
    <row r="412" spans="6:7" x14ac:dyDescent="0.2">
      <c r="F412" s="1"/>
    </row>
    <row r="413" spans="6:7" x14ac:dyDescent="0.2">
      <c r="F413" s="1"/>
    </row>
    <row r="414" spans="6:7" x14ac:dyDescent="0.2">
      <c r="F414" s="1"/>
    </row>
    <row r="415" spans="6:7" x14ac:dyDescent="0.2">
      <c r="F415" s="1"/>
    </row>
    <row r="416" spans="6:7" x14ac:dyDescent="0.2">
      <c r="F416" s="1"/>
    </row>
    <row r="417" spans="6:6" x14ac:dyDescent="0.2">
      <c r="F41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7998-72FE-3140-AD43-27B21E474BFE}">
  <dimension ref="A1:I238"/>
  <sheetViews>
    <sheetView topLeftCell="A169" workbookViewId="0">
      <selection activeCell="I194" sqref="I194"/>
    </sheetView>
  </sheetViews>
  <sheetFormatPr baseColWidth="10" defaultRowHeight="16" x14ac:dyDescent="0.2"/>
  <sheetData>
    <row r="1" spans="1:9" x14ac:dyDescent="0.2">
      <c r="A1" s="9" t="s">
        <v>0</v>
      </c>
      <c r="B1" s="9" t="s">
        <v>1</v>
      </c>
      <c r="C1" s="9" t="s">
        <v>6</v>
      </c>
      <c r="D1" s="9" t="s">
        <v>2</v>
      </c>
      <c r="E1" s="9" t="s">
        <v>5</v>
      </c>
      <c r="F1" s="9" t="s">
        <v>3</v>
      </c>
      <c r="G1" s="10" t="s">
        <v>4</v>
      </c>
      <c r="H1" s="9" t="s">
        <v>10</v>
      </c>
      <c r="I1" s="9" t="s">
        <v>11</v>
      </c>
    </row>
    <row r="2" spans="1:9" x14ac:dyDescent="0.2">
      <c r="A2" s="10">
        <v>38687</v>
      </c>
      <c r="B2" s="11">
        <v>4.9099999999999998E-2</v>
      </c>
      <c r="C2" s="9">
        <v>11.960016</v>
      </c>
      <c r="D2" s="9">
        <v>29.531238299999998</v>
      </c>
      <c r="E2" s="9">
        <v>16.4338762</v>
      </c>
      <c r="F2" s="9">
        <v>688091.27800000005</v>
      </c>
      <c r="G2" s="9">
        <v>16.138436599999999</v>
      </c>
      <c r="H2" s="12">
        <v>5.0999999999999997E-2</v>
      </c>
      <c r="I2" s="9">
        <v>-2.975929646</v>
      </c>
    </row>
    <row r="3" spans="1:9" x14ac:dyDescent="0.2">
      <c r="A3" s="10">
        <v>38718</v>
      </c>
      <c r="B3" s="11">
        <v>3.9100000000000003E-2</v>
      </c>
      <c r="C3" s="9">
        <v>11.7060373</v>
      </c>
      <c r="D3" s="9">
        <v>42.039966100000001</v>
      </c>
      <c r="E3" s="9">
        <v>16.495691300000001</v>
      </c>
      <c r="F3" s="9">
        <v>-1648687.5</v>
      </c>
      <c r="G3" s="9">
        <v>16.091224499999999</v>
      </c>
      <c r="H3" s="12">
        <v>5.1999999999999998E-2</v>
      </c>
      <c r="I3" s="9">
        <v>-2.9661734709999998</v>
      </c>
    </row>
    <row r="4" spans="1:9" x14ac:dyDescent="0.2">
      <c r="A4" s="10">
        <v>38749</v>
      </c>
      <c r="B4" s="11">
        <v>4.1799999999999997E-2</v>
      </c>
      <c r="C4" s="9">
        <v>11.546456299999999</v>
      </c>
      <c r="D4" s="9">
        <v>98.482430699999995</v>
      </c>
      <c r="E4" s="9">
        <v>16.522933999999999</v>
      </c>
      <c r="F4" s="9">
        <v>-1861520.5</v>
      </c>
      <c r="G4" s="9">
        <v>16.0948189</v>
      </c>
      <c r="H4" s="12">
        <v>0.05</v>
      </c>
      <c r="I4" s="9">
        <v>-2.9957322739999999</v>
      </c>
    </row>
    <row r="5" spans="1:9" x14ac:dyDescent="0.2">
      <c r="A5" s="10">
        <v>38777</v>
      </c>
      <c r="B5" s="11">
        <v>3.7199999999999997E-2</v>
      </c>
      <c r="C5" s="9">
        <v>11.7495692</v>
      </c>
      <c r="D5" s="9">
        <v>84.725678200000004</v>
      </c>
      <c r="E5" s="9">
        <v>16.59132</v>
      </c>
      <c r="F5" s="9">
        <v>-3092549.7</v>
      </c>
      <c r="G5" s="9">
        <v>16.099874100000001</v>
      </c>
      <c r="H5" s="12">
        <v>4.7E-2</v>
      </c>
      <c r="I5" s="9">
        <v>-3.0683029660000001</v>
      </c>
    </row>
    <row r="6" spans="1:9" x14ac:dyDescent="0.2">
      <c r="A6" s="10">
        <v>38808</v>
      </c>
      <c r="B6" s="11">
        <v>4.2599999999999999E-2</v>
      </c>
      <c r="C6" s="9">
        <v>11.6383016</v>
      </c>
      <c r="D6" s="9">
        <v>83.298226</v>
      </c>
      <c r="E6" s="9">
        <v>16.685940200000001</v>
      </c>
      <c r="F6" s="9">
        <v>-3801234</v>
      </c>
      <c r="G6" s="9">
        <v>16.141355999999998</v>
      </c>
      <c r="H6" s="12">
        <v>0.04</v>
      </c>
      <c r="I6" s="9">
        <v>-3.218875825</v>
      </c>
    </row>
    <row r="7" spans="1:9" x14ac:dyDescent="0.2">
      <c r="A7" s="10">
        <v>38838</v>
      </c>
      <c r="B7" s="11">
        <v>4.4299999999999999E-2</v>
      </c>
      <c r="C7" s="9">
        <v>11.784433399999999</v>
      </c>
      <c r="D7" s="9">
        <v>69.924356599999996</v>
      </c>
      <c r="E7" s="9">
        <v>16.765945899999998</v>
      </c>
      <c r="F7" s="9">
        <v>-4739770.0999999996</v>
      </c>
      <c r="G7" s="9">
        <v>16.198625</v>
      </c>
      <c r="H7" s="12">
        <v>4.2999999999999997E-2</v>
      </c>
      <c r="I7" s="9">
        <v>-3.1582512029999998</v>
      </c>
    </row>
    <row r="8" spans="1:9" x14ac:dyDescent="0.2">
      <c r="A8" s="10">
        <v>38869</v>
      </c>
      <c r="B8" s="11">
        <v>3.49E-2</v>
      </c>
      <c r="C8" s="9">
        <v>11.819042700000001</v>
      </c>
      <c r="D8" s="9">
        <v>114.849993</v>
      </c>
      <c r="E8" s="9">
        <v>16.7958052</v>
      </c>
      <c r="F8" s="9">
        <v>-5224216.5999999996</v>
      </c>
      <c r="G8" s="9">
        <v>16.263048900000001</v>
      </c>
      <c r="H8" s="12">
        <v>4.5999999999999999E-2</v>
      </c>
      <c r="I8" s="9">
        <v>-3.0900429530000002</v>
      </c>
    </row>
    <row r="9" spans="1:9" x14ac:dyDescent="0.2">
      <c r="A9" s="10">
        <v>38899</v>
      </c>
      <c r="B9" s="11">
        <v>4.5499999999999999E-2</v>
      </c>
      <c r="C9" s="9">
        <v>11.8739814</v>
      </c>
      <c r="D9" s="9">
        <v>187.74509</v>
      </c>
      <c r="E9" s="9">
        <v>16.8725041</v>
      </c>
      <c r="F9" s="9">
        <v>-6036423.0999999996</v>
      </c>
      <c r="G9" s="9">
        <v>16.3064207</v>
      </c>
      <c r="H9" s="12">
        <v>4.4999999999999998E-2</v>
      </c>
      <c r="I9" s="9">
        <v>-3.101092789</v>
      </c>
    </row>
    <row r="10" spans="1:9" x14ac:dyDescent="0.2">
      <c r="A10" s="10">
        <v>38930</v>
      </c>
      <c r="B10" s="11">
        <v>4.3900000000000002E-2</v>
      </c>
      <c r="C10" s="9">
        <v>11.873977099999999</v>
      </c>
      <c r="D10" s="9">
        <v>153.250021</v>
      </c>
      <c r="E10" s="9">
        <v>16.909573300000002</v>
      </c>
      <c r="F10" s="9">
        <v>-6696649.5</v>
      </c>
      <c r="G10" s="9">
        <v>16.329862800000001</v>
      </c>
      <c r="H10" s="12">
        <v>4.5999999999999999E-2</v>
      </c>
      <c r="I10" s="9">
        <v>-3.0704558199999998</v>
      </c>
    </row>
    <row r="11" spans="1:9" x14ac:dyDescent="0.2">
      <c r="A11" s="10">
        <v>38961</v>
      </c>
      <c r="B11" s="11">
        <v>4.3099999999999999E-2</v>
      </c>
      <c r="C11" s="9">
        <v>11.9033272</v>
      </c>
      <c r="D11" s="9">
        <v>143.76067900000001</v>
      </c>
      <c r="E11" s="9">
        <v>16.948282800000001</v>
      </c>
      <c r="F11" s="9">
        <v>-7524650.2999999998</v>
      </c>
      <c r="G11" s="9">
        <v>16.360232400000001</v>
      </c>
      <c r="H11" s="12">
        <v>4.4999999999999998E-2</v>
      </c>
      <c r="I11" s="9">
        <v>-3.0944482459999998</v>
      </c>
    </row>
    <row r="12" spans="1:9" x14ac:dyDescent="0.2">
      <c r="A12" s="10">
        <v>38991</v>
      </c>
      <c r="B12" s="11">
        <v>4.41E-2</v>
      </c>
      <c r="C12" s="9">
        <v>12.004555399999999</v>
      </c>
      <c r="D12" s="9">
        <v>148.346889</v>
      </c>
      <c r="E12" s="9">
        <v>16.977471399999999</v>
      </c>
      <c r="F12" s="9">
        <v>-7851591.7999999998</v>
      </c>
      <c r="G12" s="9">
        <v>16.375506699999999</v>
      </c>
      <c r="H12" s="12">
        <v>4.4999999999999998E-2</v>
      </c>
      <c r="I12" s="9">
        <v>-3.101092789</v>
      </c>
    </row>
    <row r="13" spans="1:9" x14ac:dyDescent="0.2">
      <c r="A13" s="10">
        <v>39022</v>
      </c>
      <c r="B13" s="11">
        <v>4.7399999999999998E-2</v>
      </c>
      <c r="C13" s="9">
        <v>11.8862703</v>
      </c>
      <c r="D13" s="9">
        <v>68.518039799999997</v>
      </c>
      <c r="E13" s="9">
        <v>17.010585800000001</v>
      </c>
      <c r="F13" s="9">
        <v>-7669077.9000000004</v>
      </c>
      <c r="G13" s="9">
        <v>16.4450441</v>
      </c>
      <c r="H13" s="12">
        <v>4.3999999999999997E-2</v>
      </c>
      <c r="I13" s="9">
        <v>-3.1145158099999999</v>
      </c>
    </row>
    <row r="14" spans="1:9" x14ac:dyDescent="0.2">
      <c r="A14" s="10">
        <v>39052</v>
      </c>
      <c r="B14" s="11">
        <v>4.9500000000000002E-2</v>
      </c>
      <c r="C14" s="9">
        <v>11.8001621</v>
      </c>
      <c r="D14" s="9">
        <v>111.207345</v>
      </c>
      <c r="E14" s="9">
        <v>17.042725999999998</v>
      </c>
      <c r="F14" s="9">
        <v>-6146738.9000000004</v>
      </c>
      <c r="G14" s="9">
        <v>16.574468299999999</v>
      </c>
      <c r="H14" s="12">
        <v>4.7E-2</v>
      </c>
      <c r="I14" s="9">
        <v>-3.057607677</v>
      </c>
    </row>
    <row r="15" spans="1:9" x14ac:dyDescent="0.2">
      <c r="A15" s="10">
        <v>39083</v>
      </c>
      <c r="B15" s="11">
        <v>6.0199999999999997E-2</v>
      </c>
      <c r="C15" s="9">
        <v>11.742929</v>
      </c>
      <c r="D15" s="9">
        <v>47.874578800000002</v>
      </c>
      <c r="E15" s="9">
        <v>17.059138300000001</v>
      </c>
      <c r="F15" s="9">
        <v>-7090939</v>
      </c>
      <c r="G15" s="9">
        <v>16.555464199999999</v>
      </c>
      <c r="H15" s="12">
        <v>4.9000000000000002E-2</v>
      </c>
      <c r="I15" s="9">
        <v>-3.0261914810000001</v>
      </c>
    </row>
    <row r="16" spans="1:9" x14ac:dyDescent="0.2">
      <c r="A16" s="10">
        <v>39114</v>
      </c>
      <c r="B16" s="11">
        <v>6.5699999999999995E-2</v>
      </c>
      <c r="C16" s="9">
        <v>11.472205900000001</v>
      </c>
      <c r="D16" s="9">
        <v>94.384594800000002</v>
      </c>
      <c r="E16" s="9">
        <v>17.095841700000001</v>
      </c>
      <c r="F16" s="9">
        <v>-7536965.2999999998</v>
      </c>
      <c r="G16" s="9">
        <v>16.575261099999999</v>
      </c>
      <c r="H16" s="12">
        <v>5.7000000000000002E-2</v>
      </c>
      <c r="I16" s="9">
        <v>-2.8735146409999999</v>
      </c>
    </row>
    <row r="17" spans="1:9" x14ac:dyDescent="0.2">
      <c r="A17" s="10">
        <v>39142</v>
      </c>
      <c r="B17" s="11">
        <v>7.1900000000000006E-2</v>
      </c>
      <c r="C17" s="9">
        <v>11.774290799999999</v>
      </c>
      <c r="D17" s="9">
        <v>59.084559499999997</v>
      </c>
      <c r="E17" s="9">
        <v>17.143165199999999</v>
      </c>
      <c r="F17" s="9">
        <v>-8373863.2000000002</v>
      </c>
      <c r="G17" s="9">
        <v>16.604322799999998</v>
      </c>
      <c r="H17" s="12">
        <v>6.3E-2</v>
      </c>
      <c r="I17" s="9">
        <v>-2.7646205529999999</v>
      </c>
    </row>
    <row r="18" spans="1:9" x14ac:dyDescent="0.2">
      <c r="A18" s="10">
        <v>39173</v>
      </c>
      <c r="B18" s="11">
        <v>6.7599999999999993E-2</v>
      </c>
      <c r="C18" s="9">
        <v>11.6883268</v>
      </c>
      <c r="D18" s="9">
        <v>72.254645600000003</v>
      </c>
      <c r="E18" s="9">
        <v>17.198521199999998</v>
      </c>
      <c r="F18" s="9">
        <v>-9355528.3000000007</v>
      </c>
      <c r="G18" s="9">
        <v>16.619010500000002</v>
      </c>
      <c r="H18" s="12">
        <v>5.7000000000000002E-2</v>
      </c>
      <c r="I18" s="9">
        <v>-2.8647040110000002</v>
      </c>
    </row>
    <row r="19" spans="1:9" x14ac:dyDescent="0.2">
      <c r="A19" s="10">
        <v>39203</v>
      </c>
      <c r="B19" s="11">
        <v>6.3600000000000004E-2</v>
      </c>
      <c r="C19" s="9">
        <v>11.830867899999999</v>
      </c>
      <c r="D19" s="9">
        <v>90.413596600000005</v>
      </c>
      <c r="E19" s="9">
        <v>17.224240600000002</v>
      </c>
      <c r="F19" s="9">
        <v>-10035894</v>
      </c>
      <c r="G19" s="9">
        <v>16.667710899999999</v>
      </c>
      <c r="H19" s="12">
        <v>0.06</v>
      </c>
      <c r="I19" s="9">
        <v>-2.813410717</v>
      </c>
    </row>
    <row r="20" spans="1:9" x14ac:dyDescent="0.2">
      <c r="A20" s="10">
        <v>39234</v>
      </c>
      <c r="B20" s="11">
        <v>6.59E-2</v>
      </c>
      <c r="C20" s="9">
        <v>11.891613100000001</v>
      </c>
      <c r="D20" s="9">
        <v>132.60609299999999</v>
      </c>
      <c r="E20" s="9">
        <v>17.234622999999999</v>
      </c>
      <c r="F20" s="9">
        <v>-9203285.5999999996</v>
      </c>
      <c r="G20" s="9">
        <v>16.720517300000001</v>
      </c>
      <c r="H20" s="12">
        <v>6.5000000000000002E-2</v>
      </c>
      <c r="I20" s="9">
        <v>-2.7333680089999999</v>
      </c>
    </row>
    <row r="21" spans="1:9" x14ac:dyDescent="0.2">
      <c r="A21" s="10">
        <v>39264</v>
      </c>
      <c r="B21" s="11">
        <v>8.8400000000000006E-2</v>
      </c>
      <c r="C21" s="9">
        <v>11.98014</v>
      </c>
      <c r="D21" s="9">
        <v>123.387643</v>
      </c>
      <c r="E21" s="9">
        <v>17.2800692</v>
      </c>
      <c r="F21" s="9">
        <v>-9927077.9000000004</v>
      </c>
      <c r="G21" s="9">
        <v>16.773235100000001</v>
      </c>
      <c r="H21" s="12">
        <v>6.4000000000000001E-2</v>
      </c>
      <c r="I21" s="9">
        <v>-2.756715373</v>
      </c>
    </row>
    <row r="22" spans="1:9" x14ac:dyDescent="0.2">
      <c r="A22" s="10">
        <v>39295</v>
      </c>
      <c r="B22" s="11">
        <v>0.1036</v>
      </c>
      <c r="C22" s="9">
        <v>12.041684999999999</v>
      </c>
      <c r="D22" s="9">
        <v>97.987065700000002</v>
      </c>
      <c r="E22" s="9">
        <v>17.3359247</v>
      </c>
      <c r="F22" s="9">
        <v>-9554584</v>
      </c>
      <c r="G22" s="9">
        <v>16.865680399999999</v>
      </c>
      <c r="H22" s="12">
        <v>0.11</v>
      </c>
      <c r="I22" s="9">
        <v>-2.207274913</v>
      </c>
    </row>
    <row r="23" spans="1:9" x14ac:dyDescent="0.2">
      <c r="A23" s="10">
        <v>39326</v>
      </c>
      <c r="B23" s="11">
        <v>0.1048</v>
      </c>
      <c r="C23" s="9">
        <v>12.063756100000001</v>
      </c>
      <c r="D23" s="9">
        <v>140.253367</v>
      </c>
      <c r="E23" s="9">
        <v>17.4146015</v>
      </c>
      <c r="F23" s="9">
        <v>-9870916.8000000007</v>
      </c>
      <c r="G23" s="9">
        <v>16.912336799999999</v>
      </c>
      <c r="H23" s="12">
        <v>0.09</v>
      </c>
      <c r="I23" s="9">
        <v>-2.407945609</v>
      </c>
    </row>
    <row r="24" spans="1:9" x14ac:dyDescent="0.2">
      <c r="A24" s="10">
        <v>39356</v>
      </c>
      <c r="B24" s="11">
        <v>0.1134</v>
      </c>
      <c r="C24" s="9">
        <v>12.127047900000001</v>
      </c>
      <c r="D24" s="9">
        <v>126.27590499999999</v>
      </c>
      <c r="E24" s="9">
        <v>17.445522</v>
      </c>
      <c r="F24" s="9">
        <v>-10005801</v>
      </c>
      <c r="G24" s="9">
        <v>16.949455</v>
      </c>
      <c r="H24" s="12">
        <v>0.106</v>
      </c>
      <c r="I24" s="9">
        <v>-2.2490443259999999</v>
      </c>
    </row>
    <row r="25" spans="1:9" x14ac:dyDescent="0.2">
      <c r="A25" s="10">
        <v>39387</v>
      </c>
      <c r="B25" s="11">
        <v>0.1186</v>
      </c>
      <c r="C25" s="9">
        <v>12.0329845</v>
      </c>
      <c r="D25" s="9">
        <v>164.12190200000001</v>
      </c>
      <c r="E25" s="9">
        <v>17.472671299999998</v>
      </c>
      <c r="F25" s="9">
        <v>-9953057.9000000004</v>
      </c>
      <c r="G25" s="9">
        <v>17.000980800000001</v>
      </c>
      <c r="H25" s="12">
        <v>0.12</v>
      </c>
      <c r="I25" s="9">
        <v>-2.1202635359999999</v>
      </c>
    </row>
    <row r="26" spans="1:9" x14ac:dyDescent="0.2">
      <c r="A26" s="10">
        <v>39417</v>
      </c>
      <c r="B26" s="11">
        <v>0.1173</v>
      </c>
      <c r="C26" s="9">
        <v>11.9617731</v>
      </c>
      <c r="D26" s="9">
        <v>153.10922600000001</v>
      </c>
      <c r="E26" s="9">
        <v>17.511033999999999</v>
      </c>
      <c r="F26" s="9">
        <v>-8061803.5</v>
      </c>
      <c r="G26" s="9">
        <v>17.124741100000001</v>
      </c>
      <c r="H26" s="12">
        <v>0.14000000000000001</v>
      </c>
      <c r="I26" s="9">
        <v>-1.9661128560000001</v>
      </c>
    </row>
    <row r="27" spans="1:9" x14ac:dyDescent="0.2">
      <c r="A27" s="10">
        <v>39448</v>
      </c>
      <c r="B27" s="11">
        <v>0.1135</v>
      </c>
      <c r="C27" s="9">
        <v>11.908689300000001</v>
      </c>
      <c r="D27" s="9">
        <v>167.24659500000001</v>
      </c>
      <c r="E27" s="9">
        <v>17.5611362</v>
      </c>
      <c r="F27" s="9">
        <v>-8564985.5999999996</v>
      </c>
      <c r="G27" s="9">
        <v>17.132803500000001</v>
      </c>
      <c r="H27" s="12">
        <v>0.14000000000000001</v>
      </c>
      <c r="I27" s="9">
        <v>-1.9653437220000001</v>
      </c>
    </row>
    <row r="28" spans="1:9" x14ac:dyDescent="0.2">
      <c r="A28" s="10">
        <v>39479</v>
      </c>
      <c r="B28" s="11">
        <v>0.13320000000000001</v>
      </c>
      <c r="C28" s="9">
        <v>11.7297327</v>
      </c>
      <c r="D28" s="9">
        <v>171.527367</v>
      </c>
      <c r="E28" s="9">
        <v>17.619834600000001</v>
      </c>
      <c r="F28" s="9">
        <v>-9421012.1999999993</v>
      </c>
      <c r="G28" s="9">
        <v>17.181063200000001</v>
      </c>
      <c r="H28" s="12">
        <v>0.16</v>
      </c>
      <c r="I28" s="9">
        <v>-1.8337816570000001</v>
      </c>
    </row>
    <row r="29" spans="1:9" x14ac:dyDescent="0.2">
      <c r="A29" s="10">
        <v>39508</v>
      </c>
      <c r="B29" s="11">
        <v>0.14080000000000001</v>
      </c>
      <c r="C29" s="9">
        <v>11.8898587</v>
      </c>
      <c r="D29" s="9">
        <v>215.84124499999999</v>
      </c>
      <c r="E29" s="9">
        <v>17.646674399999998</v>
      </c>
      <c r="F29" s="9">
        <v>-10573580</v>
      </c>
      <c r="G29" s="9">
        <v>17.2047156</v>
      </c>
      <c r="H29" s="12">
        <v>0.13900000000000001</v>
      </c>
      <c r="I29" s="9">
        <v>-1.973281346</v>
      </c>
    </row>
    <row r="30" spans="1:9" x14ac:dyDescent="0.2">
      <c r="A30" s="10">
        <v>39539</v>
      </c>
      <c r="B30" s="11">
        <v>0.1522</v>
      </c>
      <c r="C30" s="9">
        <v>11.937687199999999</v>
      </c>
      <c r="D30" s="9">
        <v>201.69416799999999</v>
      </c>
      <c r="E30" s="9">
        <v>17.6772229</v>
      </c>
      <c r="F30" s="9">
        <v>-11186029</v>
      </c>
      <c r="G30" s="9">
        <v>17.264358699999999</v>
      </c>
      <c r="H30" s="12">
        <v>0.157</v>
      </c>
      <c r="I30" s="9">
        <v>-1.849690576</v>
      </c>
    </row>
    <row r="31" spans="1:9" x14ac:dyDescent="0.2">
      <c r="A31" s="10">
        <v>39569</v>
      </c>
      <c r="B31" s="11">
        <v>0.16839999999999999</v>
      </c>
      <c r="C31" s="9">
        <v>12.031036500000001</v>
      </c>
      <c r="D31" s="9">
        <v>151.74712</v>
      </c>
      <c r="E31" s="9">
        <v>17.7120566</v>
      </c>
      <c r="F31" s="9">
        <v>-11184797</v>
      </c>
      <c r="G31" s="9">
        <v>17.320132300000001</v>
      </c>
      <c r="H31" s="12">
        <v>0.157</v>
      </c>
      <c r="I31" s="9">
        <v>-1.848990632</v>
      </c>
    </row>
    <row r="32" spans="1:9" x14ac:dyDescent="0.2">
      <c r="A32" s="10">
        <v>39600</v>
      </c>
      <c r="B32" s="11">
        <v>0.17319999999999999</v>
      </c>
      <c r="C32" s="9">
        <v>12.015062199999999</v>
      </c>
      <c r="D32" s="9">
        <v>151.397952</v>
      </c>
      <c r="E32" s="9">
        <v>17.741505400000001</v>
      </c>
      <c r="F32" s="9">
        <v>-11849874</v>
      </c>
      <c r="G32" s="9">
        <v>17.358546</v>
      </c>
      <c r="H32" s="12">
        <v>0.18</v>
      </c>
      <c r="I32" s="9">
        <v>-1.7147984279999999</v>
      </c>
    </row>
    <row r="33" spans="1:9" x14ac:dyDescent="0.2">
      <c r="A33" s="10">
        <v>39630</v>
      </c>
      <c r="B33" s="11">
        <v>0.1479</v>
      </c>
      <c r="C33" s="9">
        <v>12.186365199999999</v>
      </c>
      <c r="D33" s="9">
        <v>149.866715</v>
      </c>
      <c r="E33" s="9">
        <v>17.773812199999998</v>
      </c>
      <c r="F33" s="9">
        <v>-13080950</v>
      </c>
      <c r="G33" s="9">
        <v>17.407654300000001</v>
      </c>
      <c r="H33" s="12">
        <v>0.17699999999999999</v>
      </c>
      <c r="I33" s="9">
        <v>-1.733976897</v>
      </c>
    </row>
    <row r="34" spans="1:9" x14ac:dyDescent="0.2">
      <c r="A34" s="10">
        <v>39661</v>
      </c>
      <c r="B34" s="11">
        <v>0.13730000000000001</v>
      </c>
      <c r="C34" s="9">
        <v>12.0358991</v>
      </c>
      <c r="D34" s="9">
        <v>187.33791299999999</v>
      </c>
      <c r="E34" s="9">
        <v>17.802361099999999</v>
      </c>
      <c r="F34" s="9">
        <v>-13971225</v>
      </c>
      <c r="G34" s="9">
        <v>17.4344714</v>
      </c>
      <c r="H34" s="12">
        <v>0.192</v>
      </c>
      <c r="I34" s="9">
        <v>-1.6524728820000001</v>
      </c>
    </row>
    <row r="35" spans="1:9" x14ac:dyDescent="0.2">
      <c r="A35" s="10">
        <v>39692</v>
      </c>
      <c r="B35" s="11">
        <v>0.14510000000000001</v>
      </c>
      <c r="C35" s="9">
        <v>12.038012</v>
      </c>
      <c r="D35" s="9">
        <v>191.137719</v>
      </c>
      <c r="E35" s="9">
        <v>17.81549</v>
      </c>
      <c r="F35" s="9">
        <v>-13948737</v>
      </c>
      <c r="G35" s="9">
        <v>17.4540094</v>
      </c>
      <c r="H35" s="12">
        <v>0.17</v>
      </c>
      <c r="I35" s="9">
        <v>-1.771956842</v>
      </c>
    </row>
    <row r="36" spans="1:9" x14ac:dyDescent="0.2">
      <c r="A36" s="10">
        <v>39722</v>
      </c>
      <c r="B36" s="11">
        <v>0.13300000000000001</v>
      </c>
      <c r="C36" s="9">
        <v>12.1705155</v>
      </c>
      <c r="D36" s="9">
        <v>98.997977000000006</v>
      </c>
      <c r="E36" s="9">
        <v>17.7770002</v>
      </c>
      <c r="F36" s="9">
        <v>-13577531</v>
      </c>
      <c r="G36" s="9">
        <v>17.417247100000001</v>
      </c>
      <c r="H36" s="12">
        <v>0.16</v>
      </c>
      <c r="I36" s="9">
        <v>-1.832581464</v>
      </c>
    </row>
    <row r="37" spans="1:9" x14ac:dyDescent="0.2">
      <c r="A37" s="10">
        <v>39753</v>
      </c>
      <c r="B37" s="11">
        <v>0.1208</v>
      </c>
      <c r="C37" s="9">
        <v>12.0440361</v>
      </c>
      <c r="D37" s="9">
        <v>189.88458399999999</v>
      </c>
      <c r="E37" s="9">
        <v>17.787607399999999</v>
      </c>
      <c r="F37" s="9">
        <v>-13789405</v>
      </c>
      <c r="G37" s="9">
        <v>17.397411699999999</v>
      </c>
      <c r="H37" s="12">
        <v>0.14499999999999999</v>
      </c>
      <c r="I37" s="9">
        <v>-1.928266714</v>
      </c>
    </row>
    <row r="38" spans="1:9" x14ac:dyDescent="0.2">
      <c r="A38" s="10">
        <v>39783</v>
      </c>
      <c r="B38" s="11">
        <v>0.11849999999999999</v>
      </c>
      <c r="C38" s="9">
        <v>12.109390299999999</v>
      </c>
      <c r="D38" s="9">
        <v>81.161294699999999</v>
      </c>
      <c r="E38" s="9">
        <v>17.801202499999999</v>
      </c>
      <c r="F38" s="9">
        <v>-11931858</v>
      </c>
      <c r="G38" s="9">
        <v>17.446523500000001</v>
      </c>
      <c r="H38" s="12">
        <v>0.128</v>
      </c>
      <c r="I38" s="9">
        <v>-2.0565065699999998</v>
      </c>
    </row>
    <row r="39" spans="1:9" x14ac:dyDescent="0.2">
      <c r="A39" s="10">
        <v>39814</v>
      </c>
      <c r="B39" s="11">
        <v>0.1104</v>
      </c>
      <c r="C39" s="9">
        <v>11.9689198</v>
      </c>
      <c r="D39" s="9">
        <v>-23.285236999999999</v>
      </c>
      <c r="E39" s="9">
        <v>17.809132200000001</v>
      </c>
      <c r="F39" s="9">
        <v>-12564235</v>
      </c>
      <c r="G39" s="9">
        <v>17.4152743</v>
      </c>
      <c r="H39" s="12">
        <v>0.113</v>
      </c>
      <c r="I39" s="9">
        <v>-2.178341192</v>
      </c>
    </row>
    <row r="40" spans="1:9" x14ac:dyDescent="0.2">
      <c r="A40" s="10">
        <v>39845</v>
      </c>
      <c r="B40" s="11">
        <v>8.1299999999999997E-2</v>
      </c>
      <c r="C40" s="9">
        <v>11.797284400000001</v>
      </c>
      <c r="D40" s="9">
        <v>77.708808199999993</v>
      </c>
      <c r="E40" s="9">
        <v>17.795629600000002</v>
      </c>
      <c r="F40" s="9">
        <v>-13157015</v>
      </c>
      <c r="G40" s="9">
        <v>17.404419499999999</v>
      </c>
      <c r="H40" s="12">
        <v>9.9000000000000005E-2</v>
      </c>
      <c r="I40" s="9">
        <v>-2.3098702000000002</v>
      </c>
    </row>
    <row r="41" spans="1:9" x14ac:dyDescent="0.2">
      <c r="A41" s="10">
        <v>39873</v>
      </c>
      <c r="B41" s="11">
        <v>6.5600000000000006E-2</v>
      </c>
      <c r="C41" s="9">
        <v>12.007619999999999</v>
      </c>
      <c r="D41" s="9">
        <v>47.5242407</v>
      </c>
      <c r="E41" s="9">
        <v>17.8067484</v>
      </c>
      <c r="F41" s="9">
        <v>-13994098</v>
      </c>
      <c r="G41" s="9">
        <v>17.383199300000001</v>
      </c>
      <c r="H41" s="12">
        <v>9.5000000000000001E-2</v>
      </c>
      <c r="I41" s="9">
        <v>-2.354931573</v>
      </c>
    </row>
    <row r="42" spans="1:9" x14ac:dyDescent="0.2">
      <c r="A42" s="10">
        <v>39904</v>
      </c>
      <c r="B42" s="11">
        <v>5.3199999999999997E-2</v>
      </c>
      <c r="C42" s="9">
        <v>12.013575899999999</v>
      </c>
      <c r="D42" s="9">
        <v>45.807009100000002</v>
      </c>
      <c r="E42" s="9">
        <v>17.8035517</v>
      </c>
      <c r="F42" s="9">
        <v>-15092949</v>
      </c>
      <c r="G42" s="9">
        <v>17.3770104</v>
      </c>
      <c r="H42" s="12">
        <v>7.6999999999999999E-2</v>
      </c>
      <c r="I42" s="9">
        <v>-2.5607802620000002</v>
      </c>
    </row>
    <row r="43" spans="1:9" x14ac:dyDescent="0.2">
      <c r="A43" s="10">
        <v>39934</v>
      </c>
      <c r="B43" s="11">
        <v>3.2000000000000001E-2</v>
      </c>
      <c r="C43" s="9">
        <v>12.0575519</v>
      </c>
      <c r="D43" s="9">
        <v>125.240144</v>
      </c>
      <c r="E43" s="9">
        <v>17.823301699999998</v>
      </c>
      <c r="F43" s="9">
        <v>-16211805</v>
      </c>
      <c r="G43" s="9">
        <v>17.369328599999999</v>
      </c>
      <c r="H43" s="12">
        <v>6.7000000000000004E-2</v>
      </c>
      <c r="I43" s="9">
        <v>-2.7093841269999999</v>
      </c>
    </row>
    <row r="44" spans="1:9" x14ac:dyDescent="0.2">
      <c r="A44" s="10">
        <v>39965</v>
      </c>
      <c r="B44" s="11">
        <v>2.12E-2</v>
      </c>
      <c r="C44" s="9">
        <v>12.127174999999999</v>
      </c>
      <c r="D44" s="9">
        <v>132.03366199999999</v>
      </c>
      <c r="E44" s="9">
        <v>17.831007700000001</v>
      </c>
      <c r="F44" s="9">
        <v>-15645075</v>
      </c>
      <c r="G44" s="9">
        <v>17.4186704</v>
      </c>
      <c r="H44" s="12">
        <v>0.06</v>
      </c>
      <c r="I44" s="9">
        <v>-2.813410717</v>
      </c>
    </row>
    <row r="45" spans="1:9" x14ac:dyDescent="0.2">
      <c r="A45" s="10">
        <v>39995</v>
      </c>
      <c r="B45" s="11">
        <v>1.4500000000000001E-2</v>
      </c>
      <c r="C45" s="9">
        <v>12.2414659</v>
      </c>
      <c r="D45" s="9">
        <v>101.541529</v>
      </c>
      <c r="E45" s="9">
        <v>17.837590899999999</v>
      </c>
      <c r="F45" s="9">
        <v>-16557845</v>
      </c>
      <c r="G45" s="9">
        <v>17.420403700000001</v>
      </c>
      <c r="H45" s="12">
        <v>4.7E-2</v>
      </c>
      <c r="I45" s="9">
        <v>-3.0507219659999998</v>
      </c>
    </row>
    <row r="46" spans="1:9" x14ac:dyDescent="0.2">
      <c r="A46" s="10">
        <v>40026</v>
      </c>
      <c r="B46" s="11">
        <v>1.4200000000000001E-2</v>
      </c>
      <c r="C46" s="9">
        <v>12.188108099999999</v>
      </c>
      <c r="D46" s="9">
        <v>126.88743100000001</v>
      </c>
      <c r="E46" s="9">
        <v>17.874586499999999</v>
      </c>
      <c r="F46" s="9">
        <v>-16285248</v>
      </c>
      <c r="G46" s="9">
        <v>17.4322914</v>
      </c>
      <c r="H46" s="12">
        <v>3.5000000000000003E-2</v>
      </c>
      <c r="I46" s="9">
        <v>-3.3417313970000002</v>
      </c>
    </row>
    <row r="47" spans="1:9" x14ac:dyDescent="0.2">
      <c r="A47" s="10">
        <v>40057</v>
      </c>
      <c r="B47" s="11">
        <v>6.4000000000000003E-3</v>
      </c>
      <c r="C47" s="9">
        <v>12.2808332</v>
      </c>
      <c r="D47" s="9">
        <v>93.324710499999995</v>
      </c>
      <c r="E47" s="9">
        <v>17.891701099999999</v>
      </c>
      <c r="F47" s="9">
        <v>-15842018</v>
      </c>
      <c r="G47" s="9">
        <v>17.481502500000001</v>
      </c>
      <c r="H47" s="12">
        <v>0.03</v>
      </c>
      <c r="I47" s="9">
        <v>-3.506557897</v>
      </c>
    </row>
    <row r="48" spans="1:9" x14ac:dyDescent="0.2">
      <c r="A48" s="10">
        <v>40087</v>
      </c>
      <c r="B48" s="11">
        <v>7.7999999999999996E-3</v>
      </c>
      <c r="C48" s="9">
        <v>12.337508100000001</v>
      </c>
      <c r="D48" s="9">
        <v>73.286618099999998</v>
      </c>
      <c r="E48" s="9">
        <v>17.9087903</v>
      </c>
      <c r="F48" s="9">
        <v>-14869605</v>
      </c>
      <c r="G48" s="9">
        <v>17.520443700000001</v>
      </c>
      <c r="H48" s="12">
        <v>0.04</v>
      </c>
      <c r="I48" s="9">
        <v>-3.218875825</v>
      </c>
    </row>
    <row r="49" spans="1:9" x14ac:dyDescent="0.2">
      <c r="A49" s="10">
        <v>40118</v>
      </c>
      <c r="B49" s="11">
        <v>4.5999999999999999E-3</v>
      </c>
      <c r="C49" s="9">
        <v>12.261335000000001</v>
      </c>
      <c r="D49" s="9">
        <v>65.672036199999994</v>
      </c>
      <c r="E49" s="9">
        <v>17.927340699999998</v>
      </c>
      <c r="F49" s="9">
        <v>-14810161</v>
      </c>
      <c r="G49" s="9">
        <v>17.537018700000001</v>
      </c>
      <c r="H49" s="12">
        <v>3.5999999999999997E-2</v>
      </c>
      <c r="I49" s="9">
        <v>-3.3326045899999999</v>
      </c>
    </row>
    <row r="50" spans="1:9" x14ac:dyDescent="0.2">
      <c r="A50" s="10">
        <v>40148</v>
      </c>
      <c r="B50" s="11">
        <v>2.5999999999999999E-3</v>
      </c>
      <c r="C50" s="9">
        <v>12.269739</v>
      </c>
      <c r="D50" s="9">
        <v>43.284953999999999</v>
      </c>
      <c r="E50" s="9">
        <v>17.906571700000001</v>
      </c>
      <c r="F50" s="9">
        <v>-12037862</v>
      </c>
      <c r="G50" s="9">
        <v>17.6179591</v>
      </c>
      <c r="H50" s="12">
        <v>2.5000000000000001E-2</v>
      </c>
      <c r="I50" s="9">
        <v>-3.6888794539999998</v>
      </c>
    </row>
    <row r="51" spans="1:9" x14ac:dyDescent="0.2">
      <c r="A51" s="10">
        <v>40179</v>
      </c>
      <c r="B51" s="11">
        <v>6.9999999999999999E-4</v>
      </c>
      <c r="C51" s="9">
        <v>12.128645300000001</v>
      </c>
      <c r="D51" s="9">
        <v>90.387601700000005</v>
      </c>
      <c r="E51" s="9">
        <v>17.904035199999999</v>
      </c>
      <c r="F51" s="9">
        <v>-12046326</v>
      </c>
      <c r="G51" s="9">
        <v>17.6241053</v>
      </c>
      <c r="H51" s="12">
        <v>2.9000000000000001E-2</v>
      </c>
      <c r="I51" s="9">
        <v>-3.551503791</v>
      </c>
    </row>
    <row r="52" spans="1:9" x14ac:dyDescent="0.2">
      <c r="A52" s="10">
        <v>40210</v>
      </c>
      <c r="B52" s="11">
        <v>3.0999999999999999E-3</v>
      </c>
      <c r="C52" s="9">
        <v>11.9184456</v>
      </c>
      <c r="D52" s="9">
        <v>110.044906</v>
      </c>
      <c r="E52" s="9">
        <v>17.8999539</v>
      </c>
      <c r="F52" s="9">
        <v>-11898433</v>
      </c>
      <c r="G52" s="9">
        <v>17.6268502</v>
      </c>
      <c r="H52" s="12">
        <v>2.7E-2</v>
      </c>
      <c r="I52" s="9">
        <v>-3.6291514999999999</v>
      </c>
    </row>
    <row r="53" spans="1:9" x14ac:dyDescent="0.2">
      <c r="A53" s="10">
        <v>40238</v>
      </c>
      <c r="B53" s="11">
        <v>6.8999999999999999E-3</v>
      </c>
      <c r="C53" s="9">
        <v>12.157159699999999</v>
      </c>
      <c r="D53" s="9">
        <v>92.400379799999996</v>
      </c>
      <c r="E53" s="9">
        <v>17.890977500000002</v>
      </c>
      <c r="F53" s="9">
        <v>-12534190</v>
      </c>
      <c r="G53" s="9">
        <v>17.622553</v>
      </c>
      <c r="H53" s="12">
        <v>2.9000000000000001E-2</v>
      </c>
      <c r="I53" s="9">
        <v>-3.5578511920000002</v>
      </c>
    </row>
    <row r="54" spans="1:9" x14ac:dyDescent="0.2">
      <c r="A54" s="10">
        <v>40269</v>
      </c>
      <c r="B54" s="11">
        <v>1.2200000000000001E-2</v>
      </c>
      <c r="C54" s="9">
        <v>12.178489300000001</v>
      </c>
      <c r="D54" s="9">
        <v>54.908305200000001</v>
      </c>
      <c r="E54" s="9">
        <v>17.890136600000002</v>
      </c>
      <c r="F54" s="9">
        <v>-14535737</v>
      </c>
      <c r="G54" s="9">
        <v>17.613030200000001</v>
      </c>
      <c r="H54" s="12">
        <v>2.5000000000000001E-2</v>
      </c>
      <c r="I54" s="9">
        <v>-3.688385872</v>
      </c>
    </row>
    <row r="55" spans="1:9" x14ac:dyDescent="0.2">
      <c r="A55" s="10">
        <v>40299</v>
      </c>
      <c r="B55" s="11">
        <v>1.38E-2</v>
      </c>
      <c r="C55" s="9">
        <v>12.1759019</v>
      </c>
      <c r="D55" s="9">
        <v>154.42221699999999</v>
      </c>
      <c r="E55" s="9">
        <v>17.891965599999999</v>
      </c>
      <c r="F55" s="9">
        <v>-14921374</v>
      </c>
      <c r="G55" s="9">
        <v>17.642541600000001</v>
      </c>
      <c r="H55" s="12">
        <v>2.7E-2</v>
      </c>
      <c r="I55" s="9">
        <v>-3.6231835050000001</v>
      </c>
    </row>
    <row r="56" spans="1:9" x14ac:dyDescent="0.2">
      <c r="A56" s="10">
        <v>40330</v>
      </c>
      <c r="B56" s="11">
        <v>1.3299999999999999E-2</v>
      </c>
      <c r="C56" s="9">
        <v>12.185286700000001</v>
      </c>
      <c r="D56" s="9">
        <v>185.16367299999999</v>
      </c>
      <c r="E56" s="9">
        <v>17.901572699999999</v>
      </c>
      <c r="F56" s="9">
        <v>-16051878</v>
      </c>
      <c r="G56" s="9">
        <v>17.6410917</v>
      </c>
      <c r="H56" s="12">
        <v>2.5000000000000001E-2</v>
      </c>
      <c r="I56" s="9">
        <v>-3.6888794539999998</v>
      </c>
    </row>
    <row r="57" spans="1:9" x14ac:dyDescent="0.2">
      <c r="A57" s="10">
        <v>40360</v>
      </c>
      <c r="B57" s="11">
        <v>2.1600000000000001E-2</v>
      </c>
      <c r="C57" s="9">
        <v>12.236466800000001</v>
      </c>
      <c r="D57" s="9">
        <v>177.88760099999999</v>
      </c>
      <c r="E57" s="9">
        <v>17.910847700000001</v>
      </c>
      <c r="F57" s="9">
        <v>-17451956</v>
      </c>
      <c r="G57" s="9">
        <v>17.6484901</v>
      </c>
      <c r="H57" s="12">
        <v>2.5000000000000001E-2</v>
      </c>
      <c r="I57" s="9">
        <v>-3.694904991</v>
      </c>
    </row>
    <row r="58" spans="1:9" x14ac:dyDescent="0.2">
      <c r="A58" s="10">
        <v>40391</v>
      </c>
      <c r="B58" s="11">
        <v>2.5999999999999999E-2</v>
      </c>
      <c r="C58" s="9">
        <v>12.2561161</v>
      </c>
      <c r="D58" s="9">
        <v>156.32324499999999</v>
      </c>
      <c r="E58" s="9">
        <v>17.924712799999998</v>
      </c>
      <c r="F58" s="9">
        <v>-18695844</v>
      </c>
      <c r="G58" s="9">
        <v>17.658402299999999</v>
      </c>
      <c r="H58" s="12">
        <v>2.4E-2</v>
      </c>
      <c r="I58" s="9">
        <v>-3.7380243040000001</v>
      </c>
    </row>
    <row r="59" spans="1:9" x14ac:dyDescent="0.2">
      <c r="A59" s="10">
        <v>40422</v>
      </c>
      <c r="B59" s="11">
        <v>3.27E-2</v>
      </c>
      <c r="C59" s="9">
        <v>12.3677285</v>
      </c>
      <c r="D59" s="9">
        <v>126.01092300000001</v>
      </c>
      <c r="E59" s="9">
        <v>17.960825499999999</v>
      </c>
      <c r="F59" s="9">
        <v>-19622557</v>
      </c>
      <c r="G59" s="9">
        <v>17.678170999999999</v>
      </c>
      <c r="H59" s="12">
        <v>3.6999999999999998E-2</v>
      </c>
      <c r="I59" s="9">
        <v>-3.310443018</v>
      </c>
    </row>
    <row r="60" spans="1:9" x14ac:dyDescent="0.2">
      <c r="A60" s="10">
        <v>40452</v>
      </c>
      <c r="B60" s="11">
        <v>4.2000000000000003E-2</v>
      </c>
      <c r="C60" s="9">
        <v>12.298144199999999</v>
      </c>
      <c r="D60" s="9">
        <v>194.63256100000001</v>
      </c>
      <c r="E60" s="9">
        <v>17.977164200000001</v>
      </c>
      <c r="F60" s="9">
        <v>-20206231</v>
      </c>
      <c r="G60" s="9">
        <v>17.699230400000001</v>
      </c>
      <c r="H60" s="12">
        <v>0.04</v>
      </c>
      <c r="I60" s="9">
        <v>-3.2314546069999999</v>
      </c>
    </row>
    <row r="61" spans="1:9" x14ac:dyDescent="0.2">
      <c r="A61" s="10">
        <v>40483</v>
      </c>
      <c r="B61" s="11">
        <v>5.57E-2</v>
      </c>
      <c r="C61" s="9">
        <v>12.3767733</v>
      </c>
      <c r="D61" s="9">
        <v>85.803237499999994</v>
      </c>
      <c r="E61" s="9">
        <v>17.9828592</v>
      </c>
      <c r="F61" s="9">
        <v>-20380591</v>
      </c>
      <c r="G61" s="9">
        <v>17.7438009</v>
      </c>
      <c r="H61" s="12">
        <v>0.05</v>
      </c>
      <c r="I61" s="9">
        <v>-2.9957322739999999</v>
      </c>
    </row>
    <row r="62" spans="1:9" x14ac:dyDescent="0.2">
      <c r="A62" s="10">
        <v>40513</v>
      </c>
      <c r="B62" s="11">
        <v>7.1800000000000003E-2</v>
      </c>
      <c r="C62" s="9">
        <v>12.3520348</v>
      </c>
      <c r="D62" s="9">
        <v>20.269091199999998</v>
      </c>
      <c r="E62" s="9">
        <v>18.0279907</v>
      </c>
      <c r="F62" s="9">
        <v>-19033717</v>
      </c>
      <c r="G62" s="9">
        <v>17.8665026</v>
      </c>
      <c r="H62" s="12">
        <v>5.5E-2</v>
      </c>
      <c r="I62" s="9">
        <v>-2.9004220940000001</v>
      </c>
    </row>
    <row r="63" spans="1:9" x14ac:dyDescent="0.2">
      <c r="A63" s="10">
        <v>40544</v>
      </c>
      <c r="B63" s="11">
        <v>8.3799999999999999E-2</v>
      </c>
      <c r="C63" s="9">
        <v>12.2578491</v>
      </c>
      <c r="D63" s="9">
        <v>127.70380900000001</v>
      </c>
      <c r="E63" s="9">
        <v>18.057008499999998</v>
      </c>
      <c r="F63" s="9">
        <v>-20395683</v>
      </c>
      <c r="G63" s="9">
        <v>17.844381299999998</v>
      </c>
      <c r="H63" s="12">
        <v>6.4000000000000001E-2</v>
      </c>
      <c r="I63" s="9">
        <v>-2.7515933889999999</v>
      </c>
    </row>
    <row r="64" spans="1:9" x14ac:dyDescent="0.2">
      <c r="A64" s="10">
        <v>40575</v>
      </c>
      <c r="B64" s="11">
        <v>0.1</v>
      </c>
      <c r="C64" s="9">
        <v>12.106427699999999</v>
      </c>
      <c r="D64" s="9">
        <v>166.958327</v>
      </c>
      <c r="E64" s="9">
        <v>18.087594500000002</v>
      </c>
      <c r="F64" s="9">
        <v>-21398483</v>
      </c>
      <c r="G64" s="9">
        <v>17.854048899999999</v>
      </c>
      <c r="H64" s="12">
        <v>7.0000000000000007E-2</v>
      </c>
      <c r="I64" s="9">
        <v>-2.6565752890000001</v>
      </c>
    </row>
    <row r="65" spans="1:9" x14ac:dyDescent="0.2">
      <c r="A65" s="10">
        <v>40603</v>
      </c>
      <c r="B65" s="11">
        <v>0.1111</v>
      </c>
      <c r="C65" s="9">
        <v>12.1648198</v>
      </c>
      <c r="D65" s="9">
        <v>-32.874231999999999</v>
      </c>
      <c r="E65" s="9">
        <v>18.097061400000001</v>
      </c>
      <c r="F65" s="9">
        <v>-20515376</v>
      </c>
      <c r="G65" s="9">
        <v>17.8638619</v>
      </c>
      <c r="H65" s="12">
        <v>0.1</v>
      </c>
      <c r="I65" s="9">
        <v>-2.3025850929999998</v>
      </c>
    </row>
    <row r="66" spans="1:9" x14ac:dyDescent="0.2">
      <c r="A66" s="10">
        <v>40634</v>
      </c>
      <c r="B66" s="11">
        <v>0.1103</v>
      </c>
      <c r="C66" s="9">
        <v>12.181718099999999</v>
      </c>
      <c r="D66" s="9">
        <v>123.030961</v>
      </c>
      <c r="E66" s="9">
        <v>18.120668899999998</v>
      </c>
      <c r="F66" s="9">
        <v>-22720669</v>
      </c>
      <c r="G66" s="9">
        <v>17.852882999999999</v>
      </c>
      <c r="H66" s="12">
        <v>0.10199999999999999</v>
      </c>
      <c r="I66" s="9">
        <v>-2.2822724609999998</v>
      </c>
    </row>
    <row r="67" spans="1:9" x14ac:dyDescent="0.2">
      <c r="A67" s="10">
        <v>40664</v>
      </c>
      <c r="B67" s="11">
        <v>0.11269999999999999</v>
      </c>
      <c r="C67" s="9">
        <v>12.196841600000001</v>
      </c>
      <c r="D67" s="9">
        <v>218.27195699999999</v>
      </c>
      <c r="E67" s="9">
        <v>18.113648000000001</v>
      </c>
      <c r="F67" s="9">
        <v>-24039985</v>
      </c>
      <c r="G67" s="9">
        <v>17.8646201</v>
      </c>
      <c r="H67" s="12">
        <v>0.11700000000000001</v>
      </c>
      <c r="I67" s="9">
        <v>-2.1451847850000001</v>
      </c>
    </row>
    <row r="68" spans="1:9" x14ac:dyDescent="0.2">
      <c r="A68" s="10">
        <v>40695</v>
      </c>
      <c r="B68" s="11">
        <v>0.1128</v>
      </c>
      <c r="C68" s="9">
        <v>12.240512000000001</v>
      </c>
      <c r="D68" s="9">
        <v>82.458778499999994</v>
      </c>
      <c r="E68" s="9">
        <v>18.119160000000001</v>
      </c>
      <c r="F68" s="9">
        <v>-23153206</v>
      </c>
      <c r="G68" s="9">
        <v>17.908715399999998</v>
      </c>
      <c r="H68" s="12">
        <v>7.0000000000000007E-2</v>
      </c>
      <c r="I68" s="9">
        <v>-2.6592600370000001</v>
      </c>
    </row>
    <row r="69" spans="1:9" x14ac:dyDescent="0.2">
      <c r="A69" s="10">
        <v>40725</v>
      </c>
      <c r="B69" s="11">
        <v>0.1118</v>
      </c>
      <c r="C69" s="9">
        <v>12.3016811</v>
      </c>
      <c r="D69" s="9">
        <v>180.05301800000001</v>
      </c>
      <c r="E69" s="9">
        <v>18.143911599999999</v>
      </c>
      <c r="F69" s="9">
        <v>-24583660</v>
      </c>
      <c r="G69" s="9">
        <v>17.9199099</v>
      </c>
      <c r="H69" s="12">
        <v>0.09</v>
      </c>
      <c r="I69" s="9">
        <v>-2.407945609</v>
      </c>
    </row>
    <row r="70" spans="1:9" x14ac:dyDescent="0.2">
      <c r="A70" s="10">
        <v>40756</v>
      </c>
      <c r="B70" s="11">
        <v>0.1043</v>
      </c>
      <c r="C70" s="9">
        <v>12.3786326</v>
      </c>
      <c r="D70" s="9">
        <v>151.974515</v>
      </c>
      <c r="E70" s="9">
        <v>18.1964401</v>
      </c>
      <c r="F70" s="9">
        <v>-25793167</v>
      </c>
      <c r="G70" s="9">
        <v>17.9581722</v>
      </c>
      <c r="H70" s="12">
        <v>7.4999999999999997E-2</v>
      </c>
      <c r="I70" s="9">
        <v>-2.586275144</v>
      </c>
    </row>
    <row r="71" spans="1:9" x14ac:dyDescent="0.2">
      <c r="A71" s="10">
        <v>40787</v>
      </c>
      <c r="B71" s="11">
        <v>9.9299999999999999E-2</v>
      </c>
      <c r="C71" s="9">
        <v>12.4466135</v>
      </c>
      <c r="D71" s="9">
        <v>160.85325800000001</v>
      </c>
      <c r="E71" s="9">
        <v>18.1770022</v>
      </c>
      <c r="F71" s="9">
        <v>-26182201</v>
      </c>
      <c r="G71" s="9">
        <v>17.9870682</v>
      </c>
      <c r="H71" s="12">
        <v>6.5000000000000002E-2</v>
      </c>
      <c r="I71" s="9">
        <v>-2.7333680089999999</v>
      </c>
    </row>
    <row r="72" spans="1:9" x14ac:dyDescent="0.2">
      <c r="A72" s="10">
        <v>40817</v>
      </c>
      <c r="B72" s="11">
        <v>9.11E-2</v>
      </c>
      <c r="C72" s="9">
        <v>12.423973800000001</v>
      </c>
      <c r="D72" s="9">
        <v>69.076516299999994</v>
      </c>
      <c r="E72" s="9">
        <v>18.219436300000002</v>
      </c>
      <c r="F72" s="9">
        <v>-26496707</v>
      </c>
      <c r="G72" s="9">
        <v>18.004959400000001</v>
      </c>
      <c r="H72" s="12">
        <v>0.06</v>
      </c>
      <c r="I72" s="9">
        <v>-2.813410717</v>
      </c>
    </row>
    <row r="73" spans="1:9" x14ac:dyDescent="0.2">
      <c r="A73" s="10">
        <v>40848</v>
      </c>
      <c r="B73" s="11">
        <v>8.2600000000000007E-2</v>
      </c>
      <c r="C73" s="9">
        <v>12.407422800000001</v>
      </c>
      <c r="D73" s="9">
        <v>17.515320299999999</v>
      </c>
      <c r="E73" s="9">
        <v>18.235640799999999</v>
      </c>
      <c r="F73" s="9">
        <v>-25953885</v>
      </c>
      <c r="G73" s="9">
        <v>18.040167400000001</v>
      </c>
      <c r="H73" s="12">
        <v>5.7000000000000002E-2</v>
      </c>
      <c r="I73" s="9">
        <v>-2.8664599380000002</v>
      </c>
    </row>
    <row r="74" spans="1:9" x14ac:dyDescent="0.2">
      <c r="A74" s="10">
        <v>40878</v>
      </c>
      <c r="B74" s="11">
        <v>6.9000000000000006E-2</v>
      </c>
      <c r="C74" s="9">
        <v>12.424439</v>
      </c>
      <c r="D74" s="9">
        <v>14.5124321</v>
      </c>
      <c r="E74" s="9">
        <v>18.2276691</v>
      </c>
      <c r="F74" s="9">
        <v>-23173066</v>
      </c>
      <c r="G74" s="9">
        <v>18.109877600000001</v>
      </c>
      <c r="H74" s="12">
        <v>5.3999999999999999E-2</v>
      </c>
      <c r="I74" s="9">
        <v>-2.9280736250000001</v>
      </c>
    </row>
    <row r="75" spans="1:9" x14ac:dyDescent="0.2">
      <c r="A75" s="10">
        <v>40909</v>
      </c>
      <c r="B75" s="11">
        <v>5.8599999999999999E-2</v>
      </c>
      <c r="C75" s="9">
        <v>12.3327486</v>
      </c>
      <c r="D75" s="9">
        <v>35.183798500000002</v>
      </c>
      <c r="E75" s="9">
        <v>18.266061300000001</v>
      </c>
      <c r="F75" s="9">
        <v>-26541033</v>
      </c>
      <c r="G75" s="9">
        <v>18.102675300000001</v>
      </c>
      <c r="H75" s="12">
        <v>5.1999999999999998E-2</v>
      </c>
      <c r="I75" s="9">
        <v>-2.95651156</v>
      </c>
    </row>
    <row r="76" spans="1:9" x14ac:dyDescent="0.2">
      <c r="A76" s="10">
        <v>40940</v>
      </c>
      <c r="B76" s="11">
        <v>4.6399999999999997E-2</v>
      </c>
      <c r="C76" s="9">
        <v>12.1108519</v>
      </c>
      <c r="D76" s="9">
        <v>116.791849</v>
      </c>
      <c r="E76" s="9">
        <v>18.285895499999999</v>
      </c>
      <c r="F76" s="9">
        <v>-27446881</v>
      </c>
      <c r="G76" s="9">
        <v>18.114999099999999</v>
      </c>
      <c r="H76" s="12">
        <v>0.05</v>
      </c>
      <c r="I76" s="9">
        <v>-2.9957322739999999</v>
      </c>
    </row>
    <row r="77" spans="1:9" x14ac:dyDescent="0.2">
      <c r="A77" s="10">
        <v>40969</v>
      </c>
      <c r="B77" s="11">
        <v>4.0300000000000002E-2</v>
      </c>
      <c r="C77" s="9">
        <v>12.2942956</v>
      </c>
      <c r="D77" s="9">
        <v>163.413408</v>
      </c>
      <c r="E77" s="9">
        <v>18.286486499999999</v>
      </c>
      <c r="F77" s="9">
        <v>-27543760</v>
      </c>
      <c r="G77" s="9">
        <v>18.139969799999999</v>
      </c>
      <c r="H77" s="12">
        <v>5.2999999999999999E-2</v>
      </c>
      <c r="I77" s="9">
        <v>-2.9431398230000001</v>
      </c>
    </row>
    <row r="78" spans="1:9" x14ac:dyDescent="0.2">
      <c r="A78" s="10">
        <v>41000</v>
      </c>
      <c r="B78" s="11">
        <v>4.1700000000000001E-2</v>
      </c>
      <c r="C78" s="9">
        <v>12.227081099999999</v>
      </c>
      <c r="D78" s="9">
        <v>325.21827100000002</v>
      </c>
      <c r="E78" s="9">
        <v>18.272779400000001</v>
      </c>
      <c r="F78" s="9">
        <v>-28166397</v>
      </c>
      <c r="G78" s="9">
        <v>18.145116999999999</v>
      </c>
      <c r="H78" s="12">
        <v>5.1999999999999998E-2</v>
      </c>
      <c r="I78" s="9">
        <v>-2.9661734709999998</v>
      </c>
    </row>
    <row r="79" spans="1:9" x14ac:dyDescent="0.2">
      <c r="A79" s="10">
        <v>41030</v>
      </c>
      <c r="B79" s="11">
        <v>4.4699999999999997E-2</v>
      </c>
      <c r="C79" s="9">
        <v>12.3585014</v>
      </c>
      <c r="D79" s="9">
        <v>246.63817599999999</v>
      </c>
      <c r="E79" s="9">
        <v>18.2606772</v>
      </c>
      <c r="F79" s="9">
        <v>-29605297</v>
      </c>
      <c r="G79" s="9">
        <v>18.165940200000001</v>
      </c>
      <c r="H79" s="12">
        <v>5.2999999999999999E-2</v>
      </c>
      <c r="I79" s="9">
        <v>-2.9469421090000001</v>
      </c>
    </row>
    <row r="80" spans="1:9" x14ac:dyDescent="0.2">
      <c r="A80" s="10">
        <v>41061</v>
      </c>
      <c r="B80" s="11">
        <v>4.5400000000000003E-2</v>
      </c>
      <c r="C80" s="9">
        <v>12.2385404</v>
      </c>
      <c r="D80" s="9">
        <v>395.38699100000002</v>
      </c>
      <c r="E80" s="9">
        <v>18.262115699999999</v>
      </c>
      <c r="F80" s="9">
        <v>-29131073</v>
      </c>
      <c r="G80" s="9">
        <v>18.196778500000001</v>
      </c>
      <c r="H80" s="12">
        <v>0.05</v>
      </c>
      <c r="I80" s="9">
        <v>-2.9957322739999999</v>
      </c>
    </row>
    <row r="81" spans="1:9" x14ac:dyDescent="0.2">
      <c r="A81" s="10">
        <v>41091</v>
      </c>
      <c r="B81" s="11">
        <v>4.3900000000000002E-2</v>
      </c>
      <c r="C81" s="9">
        <v>12.3887889</v>
      </c>
      <c r="D81" s="9">
        <v>274.07736699999998</v>
      </c>
      <c r="E81" s="9">
        <v>18.286591399999999</v>
      </c>
      <c r="F81" s="9">
        <v>-31072633</v>
      </c>
      <c r="G81" s="9">
        <v>18.200246700000001</v>
      </c>
      <c r="H81" s="12">
        <v>5.2999999999999999E-2</v>
      </c>
      <c r="I81" s="9">
        <v>-2.9431398230000001</v>
      </c>
    </row>
    <row r="82" spans="1:9" x14ac:dyDescent="0.2">
      <c r="A82" s="10">
        <v>41122</v>
      </c>
      <c r="B82" s="11">
        <v>4.36E-2</v>
      </c>
      <c r="C82" s="9">
        <v>12.451829</v>
      </c>
      <c r="D82" s="9">
        <v>323.351313</v>
      </c>
      <c r="E82" s="9">
        <v>18.311055400000001</v>
      </c>
      <c r="F82" s="9">
        <v>-32641458</v>
      </c>
      <c r="G82" s="9">
        <v>18.220785599999999</v>
      </c>
      <c r="H82" s="12">
        <v>5.1999999999999998E-2</v>
      </c>
      <c r="I82" s="9">
        <v>-2.9661734709999998</v>
      </c>
    </row>
    <row r="83" spans="1:9" x14ac:dyDescent="0.2">
      <c r="A83" s="10">
        <v>41153</v>
      </c>
      <c r="B83" s="11">
        <v>4.4299999999999999E-2</v>
      </c>
      <c r="C83" s="9">
        <v>12.3583073</v>
      </c>
      <c r="D83" s="9">
        <v>539.78536799999995</v>
      </c>
      <c r="E83" s="9">
        <v>18.337908800000001</v>
      </c>
      <c r="F83" s="9">
        <v>-31624134</v>
      </c>
      <c r="G83" s="9">
        <v>18.237915099999999</v>
      </c>
      <c r="H83" s="12">
        <v>0.05</v>
      </c>
      <c r="I83" s="9">
        <v>-2.9957322739999999</v>
      </c>
    </row>
    <row r="84" spans="1:9" x14ac:dyDescent="0.2">
      <c r="A84" s="10">
        <v>41183</v>
      </c>
      <c r="B84" s="11">
        <v>4.3400000000000001E-2</v>
      </c>
      <c r="C84" s="9">
        <v>12.474992500000001</v>
      </c>
      <c r="D84" s="9">
        <v>332.45089999999999</v>
      </c>
      <c r="E84" s="9">
        <v>18.363837499999999</v>
      </c>
      <c r="F84" s="9">
        <v>-35032582</v>
      </c>
      <c r="G84" s="9">
        <v>18.254234700000001</v>
      </c>
      <c r="H84" s="12">
        <v>0.05</v>
      </c>
      <c r="I84" s="9">
        <v>-2.9957322739999999</v>
      </c>
    </row>
    <row r="85" spans="1:9" x14ac:dyDescent="0.2">
      <c r="A85" s="10">
        <v>41214</v>
      </c>
      <c r="B85" s="11">
        <v>4.4900000000000002E-2</v>
      </c>
      <c r="C85" s="9">
        <v>12.372670899999999</v>
      </c>
      <c r="D85" s="9">
        <v>331.09619099999998</v>
      </c>
      <c r="E85" s="9">
        <v>18.374960699999999</v>
      </c>
      <c r="F85" s="9">
        <v>-34484140</v>
      </c>
      <c r="G85" s="9">
        <v>18.285050399999999</v>
      </c>
      <c r="H85" s="12">
        <v>5.2999999999999999E-2</v>
      </c>
      <c r="I85" s="9">
        <v>-2.9469421090000001</v>
      </c>
    </row>
    <row r="86" spans="1:9" x14ac:dyDescent="0.2">
      <c r="A86" s="10">
        <v>41244</v>
      </c>
      <c r="B86" s="11">
        <v>4.5400000000000003E-2</v>
      </c>
      <c r="C86" s="9">
        <v>12.3429137</v>
      </c>
      <c r="D86" s="9">
        <v>317.65307200000001</v>
      </c>
      <c r="E86" s="9">
        <v>18.375027299999999</v>
      </c>
      <c r="F86" s="9">
        <v>-29315840</v>
      </c>
      <c r="G86" s="9">
        <v>18.368426400000001</v>
      </c>
      <c r="H86" s="12">
        <v>0.05</v>
      </c>
      <c r="I86" s="9">
        <v>-2.9957322739999999</v>
      </c>
    </row>
    <row r="87" spans="1:9" x14ac:dyDescent="0.2">
      <c r="A87" s="10">
        <v>41275</v>
      </c>
      <c r="B87" s="11">
        <v>4.9200000000000001E-2</v>
      </c>
      <c r="C87" s="9">
        <v>12.415174800000001</v>
      </c>
      <c r="D87" s="9">
        <v>348.63317699999999</v>
      </c>
      <c r="E87" s="9">
        <v>18.3837689</v>
      </c>
      <c r="F87" s="9">
        <v>-31541942</v>
      </c>
      <c r="G87" s="9">
        <v>18.3454111</v>
      </c>
      <c r="H87" s="12">
        <v>0.05</v>
      </c>
      <c r="I87" s="9">
        <v>-2.9957322739999999</v>
      </c>
    </row>
    <row r="88" spans="1:9" x14ac:dyDescent="0.2">
      <c r="A88" s="10">
        <v>41306</v>
      </c>
      <c r="B88" s="11">
        <v>5.0799999999999998E-2</v>
      </c>
      <c r="C88" s="9">
        <v>12.2192226</v>
      </c>
      <c r="D88" s="9">
        <v>205.531779</v>
      </c>
      <c r="E88" s="9">
        <v>18.387436699999999</v>
      </c>
      <c r="F88" s="9">
        <v>-33255568</v>
      </c>
      <c r="G88" s="9">
        <v>18.348958700000001</v>
      </c>
      <c r="H88" s="12">
        <v>0.05</v>
      </c>
      <c r="I88" s="9">
        <v>-2.9957322739999999</v>
      </c>
    </row>
    <row r="89" spans="1:9" x14ac:dyDescent="0.2">
      <c r="A89" s="10">
        <v>41334</v>
      </c>
      <c r="B89" s="11">
        <v>5.04E-2</v>
      </c>
      <c r="C89" s="9">
        <v>12.310058400000001</v>
      </c>
      <c r="D89" s="9">
        <v>301.41422899999998</v>
      </c>
      <c r="E89" s="9">
        <v>18.393591799999999</v>
      </c>
      <c r="F89" s="9">
        <v>-34246472</v>
      </c>
      <c r="G89" s="9">
        <v>18.356037100000002</v>
      </c>
      <c r="H89" s="12">
        <v>5.0999999999999997E-2</v>
      </c>
      <c r="I89" s="9">
        <v>-2.9857819430000001</v>
      </c>
    </row>
    <row r="90" spans="1:9" x14ac:dyDescent="0.2">
      <c r="A90" s="10">
        <v>41365</v>
      </c>
      <c r="B90" s="11">
        <v>4.9500000000000002E-2</v>
      </c>
      <c r="C90" s="9">
        <v>12.294197499999999</v>
      </c>
      <c r="D90" s="9">
        <v>233.31452100000001</v>
      </c>
      <c r="E90" s="9">
        <v>18.3949009</v>
      </c>
      <c r="F90" s="9">
        <v>-36347892</v>
      </c>
      <c r="G90" s="9">
        <v>18.357113600000002</v>
      </c>
      <c r="H90" s="12">
        <v>5.1999999999999998E-2</v>
      </c>
      <c r="I90" s="9">
        <v>-2.95651156</v>
      </c>
    </row>
    <row r="91" spans="1:9" x14ac:dyDescent="0.2">
      <c r="A91" s="10">
        <v>41395</v>
      </c>
      <c r="B91" s="11">
        <v>4.7199999999999999E-2</v>
      </c>
      <c r="C91" s="9">
        <v>12.4258287</v>
      </c>
      <c r="D91" s="9">
        <v>209.384274</v>
      </c>
      <c r="E91" s="9">
        <v>18.380820100000001</v>
      </c>
      <c r="F91" s="9">
        <v>-36985882</v>
      </c>
      <c r="G91" s="9">
        <v>18.370788000000001</v>
      </c>
      <c r="H91" s="12">
        <v>0.05</v>
      </c>
      <c r="I91" s="9">
        <v>-2.9957322739999999</v>
      </c>
    </row>
    <row r="92" spans="1:9" x14ac:dyDescent="0.2">
      <c r="A92" s="10">
        <v>41426</v>
      </c>
      <c r="B92" s="11">
        <v>4.8099999999999997E-2</v>
      </c>
      <c r="C92" s="9">
        <v>12.329053800000001</v>
      </c>
      <c r="D92" s="9">
        <v>377.46202199999999</v>
      </c>
      <c r="E92" s="9">
        <v>18.376819600000001</v>
      </c>
      <c r="F92" s="9">
        <v>-35653629</v>
      </c>
      <c r="G92" s="9">
        <v>18.402273900000001</v>
      </c>
      <c r="H92" s="12">
        <v>5.1999999999999998E-2</v>
      </c>
      <c r="I92" s="9">
        <v>-2.9661734709999998</v>
      </c>
    </row>
    <row r="93" spans="1:9" x14ac:dyDescent="0.2">
      <c r="A93" s="10">
        <v>41456</v>
      </c>
      <c r="B93" s="11">
        <v>5.0500000000000003E-2</v>
      </c>
      <c r="C93" s="9">
        <v>12.5587804</v>
      </c>
      <c r="D93" s="9">
        <v>262.76713699999999</v>
      </c>
      <c r="E93" s="9">
        <v>18.402220799999998</v>
      </c>
      <c r="F93" s="9">
        <v>-37909190</v>
      </c>
      <c r="G93" s="9">
        <v>18.408243500000001</v>
      </c>
      <c r="H93" s="12">
        <v>5.0999999999999997E-2</v>
      </c>
      <c r="I93" s="9">
        <v>-2.975929646</v>
      </c>
    </row>
    <row r="94" spans="1:9" x14ac:dyDescent="0.2">
      <c r="A94" s="10">
        <v>41487</v>
      </c>
      <c r="B94" s="11">
        <v>6.08E-2</v>
      </c>
      <c r="C94" s="9">
        <v>12.531336400000001</v>
      </c>
      <c r="D94" s="9">
        <v>179.26171400000001</v>
      </c>
      <c r="E94" s="9">
        <v>18.4085359</v>
      </c>
      <c r="F94" s="9">
        <v>-41299919</v>
      </c>
      <c r="G94" s="9">
        <v>18.424409099999998</v>
      </c>
      <c r="H94" s="12">
        <v>5.2999999999999999E-2</v>
      </c>
      <c r="I94" s="9">
        <v>-2.9412440879999999</v>
      </c>
    </row>
    <row r="95" spans="1:9" x14ac:dyDescent="0.2">
      <c r="A95" s="10">
        <v>41518</v>
      </c>
      <c r="B95" s="11">
        <v>7.1300000000000002E-2</v>
      </c>
      <c r="C95" s="9">
        <v>12.541454099999999</v>
      </c>
      <c r="D95" s="9">
        <v>251.358464</v>
      </c>
      <c r="E95" s="9">
        <v>18.4165764</v>
      </c>
      <c r="F95" s="9">
        <v>-41345434</v>
      </c>
      <c r="G95" s="9">
        <v>18.438068900000001</v>
      </c>
      <c r="H95" s="12">
        <v>0.06</v>
      </c>
      <c r="I95" s="9">
        <v>-2.813410717</v>
      </c>
    </row>
    <row r="96" spans="1:9" x14ac:dyDescent="0.2">
      <c r="A96" s="10">
        <v>41548</v>
      </c>
      <c r="B96" s="11">
        <v>7.4999999999999997E-2</v>
      </c>
      <c r="C96" s="9">
        <v>12.6360136</v>
      </c>
      <c r="D96" s="9">
        <v>210.26496499999999</v>
      </c>
      <c r="E96" s="9">
        <v>18.3979733</v>
      </c>
      <c r="F96" s="9">
        <v>-41671917</v>
      </c>
      <c r="G96" s="9">
        <v>18.460985300000001</v>
      </c>
      <c r="H96" s="12">
        <v>6.5000000000000002E-2</v>
      </c>
      <c r="I96" s="9">
        <v>-2.7333680089999999</v>
      </c>
    </row>
    <row r="97" spans="1:9" x14ac:dyDescent="0.2">
      <c r="A97" s="10">
        <v>41579</v>
      </c>
      <c r="B97" s="11">
        <v>6.9599999999999995E-2</v>
      </c>
      <c r="C97" s="9">
        <v>12.546329399999999</v>
      </c>
      <c r="D97" s="9">
        <v>121.992571</v>
      </c>
      <c r="E97" s="9">
        <v>18.3964417</v>
      </c>
      <c r="F97" s="9">
        <v>-41205003</v>
      </c>
      <c r="G97" s="9">
        <v>18.4695711</v>
      </c>
      <c r="H97" s="12">
        <v>6.5000000000000002E-2</v>
      </c>
      <c r="I97" s="9">
        <v>-2.7333680089999999</v>
      </c>
    </row>
    <row r="98" spans="1:9" x14ac:dyDescent="0.2">
      <c r="A98" s="10">
        <v>41609</v>
      </c>
      <c r="B98" s="11">
        <v>6.4799999999999996E-2</v>
      </c>
      <c r="C98" s="9">
        <v>12.6234497</v>
      </c>
      <c r="D98" s="9">
        <v>-28.815261</v>
      </c>
      <c r="E98" s="9">
        <v>18.410537399999999</v>
      </c>
      <c r="F98" s="9">
        <v>-33813098</v>
      </c>
      <c r="G98" s="9">
        <v>18.558935900000002</v>
      </c>
      <c r="H98" s="12">
        <v>6.5000000000000002E-2</v>
      </c>
      <c r="I98" s="9">
        <v>-2.7333680089999999</v>
      </c>
    </row>
    <row r="99" spans="1:9" x14ac:dyDescent="0.2">
      <c r="A99" s="10">
        <v>41640</v>
      </c>
      <c r="B99" s="11">
        <v>6.0499999999999998E-2</v>
      </c>
      <c r="C99" s="9">
        <v>12.425109300000001</v>
      </c>
      <c r="D99" s="9">
        <v>177.25638000000001</v>
      </c>
      <c r="E99" s="9">
        <v>18.416704500000002</v>
      </c>
      <c r="F99" s="9">
        <v>-35379874</v>
      </c>
      <c r="G99" s="9">
        <v>18.537109900000001</v>
      </c>
      <c r="H99" s="12">
        <v>6.3E-2</v>
      </c>
      <c r="I99" s="9">
        <v>-2.767800206</v>
      </c>
    </row>
    <row r="100" spans="1:9" x14ac:dyDescent="0.2">
      <c r="A100" s="10">
        <v>41671</v>
      </c>
      <c r="B100" s="11">
        <v>6.1699999999999998E-2</v>
      </c>
      <c r="C100" s="9">
        <v>12.308276899999999</v>
      </c>
      <c r="D100" s="9">
        <v>201.027299</v>
      </c>
      <c r="E100" s="9">
        <v>18.4193377</v>
      </c>
      <c r="F100" s="9">
        <v>-35909120</v>
      </c>
      <c r="G100" s="9">
        <v>18.532109899999998</v>
      </c>
      <c r="H100" s="12">
        <v>0.06</v>
      </c>
      <c r="I100" s="9">
        <v>-2.813410717</v>
      </c>
    </row>
    <row r="101" spans="1:9" x14ac:dyDescent="0.2">
      <c r="A101" s="10">
        <v>41699</v>
      </c>
      <c r="B101" s="11">
        <v>6.1199999999999997E-2</v>
      </c>
      <c r="C101" s="9">
        <v>12.3054275</v>
      </c>
      <c r="D101" s="9">
        <v>398.16851400000002</v>
      </c>
      <c r="E101" s="9">
        <v>18.414715099999999</v>
      </c>
      <c r="F101" s="9">
        <v>-37354260</v>
      </c>
      <c r="G101" s="9">
        <v>18.5349851</v>
      </c>
      <c r="H101" s="12">
        <v>5.8999999999999997E-2</v>
      </c>
      <c r="I101" s="9">
        <v>-2.830217835</v>
      </c>
    </row>
    <row r="102" spans="1:9" x14ac:dyDescent="0.2">
      <c r="A102" s="10">
        <v>41730</v>
      </c>
      <c r="B102" s="11">
        <v>6.2199999999999998E-2</v>
      </c>
      <c r="C102" s="9">
        <v>12.4542547</v>
      </c>
      <c r="D102" s="9">
        <v>247.87742399999999</v>
      </c>
      <c r="E102" s="9">
        <v>18.417641700000001</v>
      </c>
      <c r="F102" s="9">
        <v>-38644747</v>
      </c>
      <c r="G102" s="9">
        <v>18.542502200000001</v>
      </c>
      <c r="H102" s="12">
        <v>5.8000000000000003E-2</v>
      </c>
      <c r="I102" s="9">
        <v>-2.842153186</v>
      </c>
    </row>
    <row r="103" spans="1:9" x14ac:dyDescent="0.2">
      <c r="A103" s="10">
        <v>41760</v>
      </c>
      <c r="B103" s="11">
        <v>6.3799999999999996E-2</v>
      </c>
      <c r="C103" s="9">
        <v>12.4575298</v>
      </c>
      <c r="D103" s="9">
        <v>412.64338299999997</v>
      </c>
      <c r="E103" s="9">
        <v>18.4181688</v>
      </c>
      <c r="F103" s="9">
        <v>-39922868</v>
      </c>
      <c r="G103" s="9">
        <v>18.544441200000001</v>
      </c>
      <c r="H103" s="12">
        <v>6.5000000000000002E-2</v>
      </c>
      <c r="I103" s="9">
        <v>-2.7364496759999999</v>
      </c>
    </row>
    <row r="104" spans="1:9" x14ac:dyDescent="0.2">
      <c r="A104" s="10">
        <v>41791</v>
      </c>
      <c r="B104" s="11">
        <v>7.3300000000000004E-2</v>
      </c>
      <c r="C104" s="9">
        <v>12.386685</v>
      </c>
      <c r="D104" s="9">
        <v>391.70754699999998</v>
      </c>
      <c r="E104" s="9">
        <v>18.436443100000002</v>
      </c>
      <c r="F104" s="9">
        <v>-39064966</v>
      </c>
      <c r="G104" s="9">
        <v>18.564387799999999</v>
      </c>
      <c r="H104" s="12">
        <v>6.4000000000000001E-2</v>
      </c>
      <c r="I104" s="9">
        <v>-2.756715373</v>
      </c>
    </row>
    <row r="105" spans="1:9" x14ac:dyDescent="0.2">
      <c r="A105" s="10">
        <v>41821</v>
      </c>
      <c r="B105" s="11">
        <v>7.4700000000000003E-2</v>
      </c>
      <c r="C105" s="9">
        <v>12.632882</v>
      </c>
      <c r="D105" s="9">
        <v>220.850493</v>
      </c>
      <c r="E105" s="9">
        <v>18.4407912</v>
      </c>
      <c r="F105" s="9">
        <v>-41939026</v>
      </c>
      <c r="G105" s="9">
        <v>18.5623346</v>
      </c>
      <c r="H105" s="12">
        <v>0.06</v>
      </c>
      <c r="I105" s="9">
        <v>-2.813410717</v>
      </c>
    </row>
    <row r="106" spans="1:9" x14ac:dyDescent="0.2">
      <c r="A106" s="10">
        <v>41852</v>
      </c>
      <c r="B106" s="11">
        <v>6.1100000000000002E-2</v>
      </c>
      <c r="C106" s="9">
        <v>12.571774599999999</v>
      </c>
      <c r="D106" s="9">
        <v>198.22366299999999</v>
      </c>
      <c r="E106" s="9">
        <v>18.475272</v>
      </c>
      <c r="F106" s="9">
        <v>-44207526</v>
      </c>
      <c r="G106" s="9">
        <v>18.575433199999999</v>
      </c>
      <c r="H106" s="12">
        <v>6.5000000000000002E-2</v>
      </c>
      <c r="I106" s="9">
        <v>-2.7349076550000002</v>
      </c>
    </row>
    <row r="107" spans="1:9" x14ac:dyDescent="0.2">
      <c r="A107" s="10">
        <v>41883</v>
      </c>
      <c r="B107" s="11">
        <v>4.2999999999999997E-2</v>
      </c>
      <c r="C107" s="9">
        <v>12.680021099999999</v>
      </c>
      <c r="D107" s="9">
        <v>141.49104399999999</v>
      </c>
      <c r="E107" s="9">
        <v>18.467229499999998</v>
      </c>
      <c r="F107" s="9">
        <v>-42349181</v>
      </c>
      <c r="G107" s="9">
        <v>18.606388599999999</v>
      </c>
      <c r="H107" s="12">
        <v>6.2E-2</v>
      </c>
      <c r="I107" s="9">
        <v>-2.787093408</v>
      </c>
    </row>
    <row r="108" spans="1:9" x14ac:dyDescent="0.2">
      <c r="A108" s="10">
        <v>41913</v>
      </c>
      <c r="B108" s="11">
        <v>3.6400000000000002E-2</v>
      </c>
      <c r="C108" s="9">
        <v>12.7305709</v>
      </c>
      <c r="D108" s="9">
        <v>-59.995061999999997</v>
      </c>
      <c r="E108" s="9">
        <v>18.4747235</v>
      </c>
      <c r="F108" s="9">
        <v>-40838066</v>
      </c>
      <c r="G108" s="9">
        <v>18.6274303</v>
      </c>
      <c r="H108" s="12">
        <v>0.06</v>
      </c>
      <c r="I108" s="9">
        <v>-2.813410717</v>
      </c>
    </row>
    <row r="109" spans="1:9" x14ac:dyDescent="0.2">
      <c r="A109" s="10">
        <v>41944</v>
      </c>
      <c r="B109" s="11">
        <v>4.41E-2</v>
      </c>
      <c r="C109" s="9">
        <v>12.570479799999999</v>
      </c>
      <c r="D109" s="9">
        <v>39.623055800000003</v>
      </c>
      <c r="E109" s="9">
        <v>18.480598700000002</v>
      </c>
      <c r="F109" s="9">
        <v>-40093650</v>
      </c>
      <c r="G109" s="9">
        <v>18.6506644</v>
      </c>
      <c r="H109" s="12">
        <v>5.3999999999999999E-2</v>
      </c>
      <c r="I109" s="9">
        <v>-2.9187712320000001</v>
      </c>
    </row>
    <row r="110" spans="1:9" x14ac:dyDescent="0.2">
      <c r="A110" s="10">
        <v>41974</v>
      </c>
      <c r="B110" s="11">
        <v>5.1900000000000002E-2</v>
      </c>
      <c r="C110" s="9">
        <v>12.6406916</v>
      </c>
      <c r="D110" s="9">
        <v>-8.7544109999999993</v>
      </c>
      <c r="E110" s="9">
        <v>18.4574243</v>
      </c>
      <c r="F110" s="9">
        <v>-29328916</v>
      </c>
      <c r="G110" s="9">
        <v>18.7324381</v>
      </c>
      <c r="H110" s="12">
        <v>5.6000000000000001E-2</v>
      </c>
      <c r="I110" s="9">
        <v>-2.8824035879999998</v>
      </c>
    </row>
    <row r="111" spans="1:9" x14ac:dyDescent="0.2">
      <c r="A111" s="10">
        <v>42005</v>
      </c>
      <c r="B111" s="11">
        <v>5.9400000000000001E-2</v>
      </c>
      <c r="C111" s="9">
        <v>12.525169500000001</v>
      </c>
      <c r="D111" s="9">
        <v>34.926389200000003</v>
      </c>
      <c r="E111" s="9">
        <v>18.4550622</v>
      </c>
      <c r="F111" s="9">
        <v>-31461852</v>
      </c>
      <c r="G111" s="9">
        <v>18.708920899999999</v>
      </c>
      <c r="H111" s="12">
        <v>0.06</v>
      </c>
      <c r="I111" s="9">
        <v>-2.8217789660000001</v>
      </c>
    </row>
    <row r="112" spans="1:9" x14ac:dyDescent="0.2">
      <c r="A112" s="10">
        <v>42036</v>
      </c>
      <c r="B112" s="11">
        <v>5.4899999999999997E-2</v>
      </c>
      <c r="C112" s="9">
        <v>12.2713508</v>
      </c>
      <c r="D112" s="9">
        <v>-76.448745000000002</v>
      </c>
      <c r="E112" s="9">
        <v>18.458790199999999</v>
      </c>
      <c r="F112" s="9">
        <v>-31891981</v>
      </c>
      <c r="G112" s="9">
        <v>18.702885200000001</v>
      </c>
      <c r="H112" s="12">
        <v>5.8000000000000003E-2</v>
      </c>
      <c r="I112" s="9">
        <v>-2.855970331</v>
      </c>
    </row>
    <row r="113" spans="1:9" x14ac:dyDescent="0.2">
      <c r="A113" s="10">
        <v>42064</v>
      </c>
      <c r="B113" s="11">
        <v>4.7500000000000001E-2</v>
      </c>
      <c r="C113" s="9">
        <v>12.4739287</v>
      </c>
      <c r="D113" s="9">
        <v>-61.761830000000003</v>
      </c>
      <c r="E113" s="9">
        <v>18.447101400000001</v>
      </c>
      <c r="F113" s="9">
        <v>-31100462</v>
      </c>
      <c r="G113" s="9">
        <v>18.6947945</v>
      </c>
      <c r="H113" s="12">
        <v>5.7000000000000002E-2</v>
      </c>
      <c r="I113" s="9">
        <v>-2.859454655</v>
      </c>
    </row>
    <row r="114" spans="1:9" x14ac:dyDescent="0.2">
      <c r="A114" s="10">
        <v>42095</v>
      </c>
      <c r="B114" s="11">
        <v>4.1399999999999999E-2</v>
      </c>
      <c r="C114" s="9">
        <v>12.4765841</v>
      </c>
      <c r="D114" s="9">
        <v>7.7111853400000001</v>
      </c>
      <c r="E114" s="9">
        <v>18.438609899999999</v>
      </c>
      <c r="F114" s="9">
        <v>-33126363</v>
      </c>
      <c r="G114" s="9">
        <v>18.695447099999999</v>
      </c>
      <c r="H114" s="12">
        <v>5.6000000000000001E-2</v>
      </c>
      <c r="I114" s="9">
        <v>-2.8824035879999998</v>
      </c>
    </row>
    <row r="115" spans="1:9" x14ac:dyDescent="0.2">
      <c r="A115" s="10">
        <v>42125</v>
      </c>
      <c r="B115" s="11">
        <v>4.0800000000000003E-2</v>
      </c>
      <c r="C115" s="9">
        <v>12.4630317</v>
      </c>
      <c r="D115" s="9">
        <v>27.0705092</v>
      </c>
      <c r="E115" s="9">
        <v>18.4254997</v>
      </c>
      <c r="F115" s="9">
        <v>-31763446</v>
      </c>
      <c r="G115" s="9">
        <v>18.720085300000001</v>
      </c>
      <c r="H115" s="12">
        <v>5.1999999999999998E-2</v>
      </c>
      <c r="I115" s="9">
        <v>-2.95651156</v>
      </c>
    </row>
    <row r="116" spans="1:9" x14ac:dyDescent="0.2">
      <c r="A116" s="10">
        <v>42156</v>
      </c>
      <c r="B116" s="11">
        <v>3.1899999999999998E-2</v>
      </c>
      <c r="C116" s="9">
        <v>12.458752</v>
      </c>
      <c r="D116" s="9">
        <v>35.2476859</v>
      </c>
      <c r="E116" s="9">
        <v>18.4296054</v>
      </c>
      <c r="F116" s="9">
        <v>-31746886</v>
      </c>
      <c r="G116" s="9">
        <v>18.746661499999998</v>
      </c>
      <c r="H116" s="12">
        <v>5.7000000000000002E-2</v>
      </c>
      <c r="I116" s="9">
        <v>-2.8647040110000002</v>
      </c>
    </row>
    <row r="117" spans="1:9" x14ac:dyDescent="0.2">
      <c r="A117" s="10">
        <v>42186</v>
      </c>
      <c r="B117" s="11">
        <v>3.0599999999999999E-2</v>
      </c>
      <c r="C117" s="9">
        <v>12.5165168</v>
      </c>
      <c r="D117" s="9">
        <v>-92.045022000000003</v>
      </c>
      <c r="E117" s="9">
        <v>18.414406</v>
      </c>
      <c r="F117" s="9">
        <v>-33903953</v>
      </c>
      <c r="G117" s="9">
        <v>18.740625099999999</v>
      </c>
      <c r="H117" s="12">
        <v>0.05</v>
      </c>
      <c r="I117" s="9">
        <v>-2.9897502020000002</v>
      </c>
    </row>
    <row r="118" spans="1:9" x14ac:dyDescent="0.2">
      <c r="A118" s="10">
        <v>42217</v>
      </c>
      <c r="B118" s="11">
        <v>3.2000000000000001E-2</v>
      </c>
      <c r="C118" s="9">
        <v>12.5939768</v>
      </c>
      <c r="D118" s="9">
        <v>-36.278968999999996</v>
      </c>
      <c r="E118" s="9">
        <v>18.405153299999998</v>
      </c>
      <c r="F118" s="9">
        <v>-34604179</v>
      </c>
      <c r="G118" s="9">
        <v>18.755942600000001</v>
      </c>
      <c r="H118" s="12">
        <v>4.5999999999999999E-2</v>
      </c>
      <c r="I118" s="9">
        <v>-3.0900429530000002</v>
      </c>
    </row>
    <row r="119" spans="1:9" x14ac:dyDescent="0.2">
      <c r="A119" s="10">
        <v>42248</v>
      </c>
      <c r="B119" s="11">
        <v>4.0800000000000003E-2</v>
      </c>
      <c r="C119" s="9">
        <v>12.675542099999999</v>
      </c>
      <c r="D119" s="9">
        <v>-63.419862000000002</v>
      </c>
      <c r="E119" s="9">
        <v>18.396343699999999</v>
      </c>
      <c r="F119" s="9">
        <v>-33442230</v>
      </c>
      <c r="G119" s="9">
        <v>18.7735919</v>
      </c>
      <c r="H119" s="12">
        <v>4.9000000000000002E-2</v>
      </c>
      <c r="I119" s="9">
        <v>-3.015934981</v>
      </c>
    </row>
    <row r="120" spans="1:9" x14ac:dyDescent="0.2">
      <c r="A120" s="10">
        <v>42278</v>
      </c>
      <c r="B120" s="11">
        <v>4.3200000000000002E-2</v>
      </c>
      <c r="C120" s="9">
        <v>12.749711899999999</v>
      </c>
      <c r="D120" s="9">
        <v>-191.73649</v>
      </c>
      <c r="E120" s="9">
        <v>18.377926599999999</v>
      </c>
      <c r="F120" s="9">
        <v>-31437802</v>
      </c>
      <c r="G120" s="9">
        <v>18.795534100000001</v>
      </c>
      <c r="H120" s="12">
        <v>4.4999999999999998E-2</v>
      </c>
      <c r="I120" s="9">
        <v>-3.101092789</v>
      </c>
    </row>
    <row r="121" spans="1:9" x14ac:dyDescent="0.2">
      <c r="A121" s="10">
        <v>42309</v>
      </c>
      <c r="B121" s="11">
        <v>3.6400000000000002E-2</v>
      </c>
      <c r="C121" s="9">
        <v>12.6468311</v>
      </c>
      <c r="D121" s="9">
        <v>-163.74265</v>
      </c>
      <c r="E121" s="9">
        <v>18.3460112</v>
      </c>
      <c r="F121" s="9">
        <v>-29994733</v>
      </c>
      <c r="G121" s="9">
        <v>18.8095611</v>
      </c>
      <c r="H121" s="12">
        <v>4.9000000000000002E-2</v>
      </c>
      <c r="I121" s="9">
        <v>-3.0261914810000001</v>
      </c>
    </row>
    <row r="122" spans="1:9" x14ac:dyDescent="0.2">
      <c r="A122" s="10">
        <v>42339</v>
      </c>
      <c r="B122" s="11">
        <v>2.9499999999999998E-2</v>
      </c>
      <c r="C122" s="9">
        <v>12.7546067</v>
      </c>
      <c r="D122" s="9">
        <v>-339.48487</v>
      </c>
      <c r="E122" s="9">
        <v>18.310458100000002</v>
      </c>
      <c r="F122" s="9">
        <v>-15862083</v>
      </c>
      <c r="G122" s="9">
        <v>18.898920100000002</v>
      </c>
      <c r="H122" s="12">
        <v>4.3999999999999997E-2</v>
      </c>
      <c r="I122" s="9">
        <v>-3.1212954970000002</v>
      </c>
    </row>
    <row r="123" spans="1:9" x14ac:dyDescent="0.2">
      <c r="A123" s="10">
        <v>42370</v>
      </c>
      <c r="B123" s="11">
        <v>2.3900000000000001E-2</v>
      </c>
      <c r="C123" s="9">
        <v>12.555871099999999</v>
      </c>
      <c r="D123" s="9">
        <v>-161.7807</v>
      </c>
      <c r="E123" s="9">
        <v>18.2920926</v>
      </c>
      <c r="F123" s="9">
        <v>-20011825</v>
      </c>
      <c r="G123" s="9">
        <v>18.859769</v>
      </c>
      <c r="H123" s="12">
        <v>4.9000000000000002E-2</v>
      </c>
      <c r="I123" s="9">
        <v>-3.0200249659999998</v>
      </c>
    </row>
    <row r="124" spans="1:9" x14ac:dyDescent="0.2">
      <c r="A124" s="10">
        <v>42401</v>
      </c>
      <c r="B124" s="11">
        <v>2.64E-2</v>
      </c>
      <c r="C124" s="9">
        <v>12.351286</v>
      </c>
      <c r="D124" s="9">
        <v>-103.08472</v>
      </c>
      <c r="E124" s="9">
        <v>18.289677000000001</v>
      </c>
      <c r="F124" s="9">
        <v>-20263735</v>
      </c>
      <c r="G124" s="9">
        <v>18.857209000000001</v>
      </c>
      <c r="H124" s="12">
        <v>4.2999999999999997E-2</v>
      </c>
      <c r="I124" s="9">
        <v>-3.1582512029999998</v>
      </c>
    </row>
    <row r="125" spans="1:9" x14ac:dyDescent="0.2">
      <c r="A125" s="10">
        <v>42430</v>
      </c>
      <c r="B125" s="11">
        <v>3.2800000000000003E-2</v>
      </c>
      <c r="C125" s="9">
        <v>12.6086873</v>
      </c>
      <c r="D125" s="9">
        <v>-111.88367</v>
      </c>
      <c r="E125" s="9">
        <v>18.265566400000001</v>
      </c>
      <c r="F125" s="9">
        <v>-19957445</v>
      </c>
      <c r="G125" s="9">
        <v>18.855837999999999</v>
      </c>
      <c r="H125" s="12">
        <v>4.2999999999999997E-2</v>
      </c>
      <c r="I125" s="9">
        <v>-3.1582512029999998</v>
      </c>
    </row>
    <row r="126" spans="1:9" x14ac:dyDescent="0.2">
      <c r="A126" s="10">
        <v>42461</v>
      </c>
      <c r="B126" s="11">
        <v>4.1300000000000003E-2</v>
      </c>
      <c r="C126" s="9">
        <v>12.552868500000001</v>
      </c>
      <c r="D126" s="9">
        <v>-114.52566</v>
      </c>
      <c r="E126" s="9">
        <v>18.245374999999999</v>
      </c>
      <c r="F126" s="9">
        <v>-19968056</v>
      </c>
      <c r="G126" s="9">
        <v>18.865216799999999</v>
      </c>
      <c r="H126" s="12">
        <v>4.5999999999999999E-2</v>
      </c>
      <c r="I126" s="9">
        <v>-3.0834711879999999</v>
      </c>
    </row>
    <row r="127" spans="1:9" x14ac:dyDescent="0.2">
      <c r="A127" s="10">
        <v>42491</v>
      </c>
      <c r="B127" s="11">
        <v>5.0200000000000002E-2</v>
      </c>
      <c r="C127" s="9">
        <v>12.5512797</v>
      </c>
      <c r="D127" s="9">
        <v>-79.929570999999996</v>
      </c>
      <c r="E127" s="9">
        <v>18.202957999999999</v>
      </c>
      <c r="F127" s="9">
        <v>-18301957</v>
      </c>
      <c r="G127" s="9">
        <v>18.8739688</v>
      </c>
      <c r="H127" s="12">
        <v>5.0999999999999997E-2</v>
      </c>
      <c r="I127" s="9">
        <v>-2.9778923549999998</v>
      </c>
    </row>
    <row r="128" spans="1:9" x14ac:dyDescent="0.2">
      <c r="A128" s="10">
        <v>42522</v>
      </c>
      <c r="B128" s="11">
        <v>4.1599999999999998E-2</v>
      </c>
      <c r="C128" s="9">
        <v>12.606069</v>
      </c>
      <c r="D128" s="9">
        <v>-94.488984000000002</v>
      </c>
      <c r="E128" s="9">
        <v>18.192997699999999</v>
      </c>
      <c r="F128" s="9">
        <v>-16747773</v>
      </c>
      <c r="G128" s="9">
        <v>18.873316899999999</v>
      </c>
      <c r="H128" s="12">
        <v>5.5E-2</v>
      </c>
      <c r="I128" s="9">
        <v>-2.9095545770000002</v>
      </c>
    </row>
    <row r="129" spans="1:9" x14ac:dyDescent="0.2">
      <c r="A129" s="10">
        <v>42552</v>
      </c>
      <c r="B129" s="11">
        <v>3.56E-2</v>
      </c>
      <c r="C129" s="9">
        <v>12.6949585</v>
      </c>
      <c r="D129" s="9">
        <v>-75.366899000000004</v>
      </c>
      <c r="E129" s="9">
        <v>18.1878964</v>
      </c>
      <c r="F129" s="9">
        <v>-18024699</v>
      </c>
      <c r="G129" s="9">
        <v>18.8730446</v>
      </c>
      <c r="H129" s="12">
        <v>5.5E-2</v>
      </c>
      <c r="I129" s="9">
        <v>-2.9004220940000001</v>
      </c>
    </row>
    <row r="130" spans="1:9" x14ac:dyDescent="0.2">
      <c r="A130" s="10">
        <v>42583</v>
      </c>
      <c r="B130" s="11">
        <v>3.49E-2</v>
      </c>
      <c r="C130" s="9">
        <v>12.7205943</v>
      </c>
      <c r="D130" s="9">
        <v>0.99985734999999998</v>
      </c>
      <c r="E130" s="9">
        <v>18.162344099999999</v>
      </c>
      <c r="F130" s="9">
        <v>-16663921</v>
      </c>
      <c r="G130" s="9">
        <v>18.880887600000001</v>
      </c>
      <c r="H130" s="12">
        <v>5.2999999999999999E-2</v>
      </c>
      <c r="I130" s="9">
        <v>-2.9469421090000001</v>
      </c>
    </row>
    <row r="131" spans="1:9" x14ac:dyDescent="0.2">
      <c r="A131" s="10">
        <v>42614</v>
      </c>
      <c r="B131" s="11">
        <v>3.4700000000000002E-2</v>
      </c>
      <c r="C131" s="9">
        <v>12.6917331</v>
      </c>
      <c r="D131" s="9">
        <v>-76.733647000000005</v>
      </c>
      <c r="E131" s="9">
        <v>18.142636499999998</v>
      </c>
      <c r="F131" s="9">
        <v>-15085995</v>
      </c>
      <c r="G131" s="9">
        <v>18.8889444</v>
      </c>
      <c r="H131" s="12">
        <v>0.05</v>
      </c>
      <c r="I131" s="9">
        <v>-2.9957322739999999</v>
      </c>
    </row>
    <row r="132" spans="1:9" x14ac:dyDescent="0.2">
      <c r="A132" s="10">
        <v>42644</v>
      </c>
      <c r="B132" s="11">
        <v>3.5000000000000003E-2</v>
      </c>
      <c r="C132" s="9">
        <v>12.703183599999999</v>
      </c>
      <c r="D132" s="9">
        <v>-40.446769000000003</v>
      </c>
      <c r="E132" s="9">
        <v>18.110927700000001</v>
      </c>
      <c r="F132" s="9">
        <v>-13282206</v>
      </c>
      <c r="G132" s="9">
        <v>18.897440700000001</v>
      </c>
      <c r="H132" s="12">
        <v>4.9000000000000002E-2</v>
      </c>
      <c r="I132" s="9">
        <v>-3.015934981</v>
      </c>
    </row>
    <row r="133" spans="1:9" x14ac:dyDescent="0.2">
      <c r="A133" s="10">
        <v>42675</v>
      </c>
      <c r="B133" s="11">
        <v>3.8800000000000001E-2</v>
      </c>
      <c r="C133" s="9">
        <v>12.679510000000001</v>
      </c>
      <c r="D133" s="9">
        <v>-174.17062999999999</v>
      </c>
      <c r="E133" s="9">
        <v>18.0785053</v>
      </c>
      <c r="F133" s="9">
        <v>-11924632</v>
      </c>
      <c r="G133" s="9">
        <v>18.9015439</v>
      </c>
      <c r="H133" s="12">
        <v>0.05</v>
      </c>
      <c r="I133" s="9">
        <v>-2.9957322739999999</v>
      </c>
    </row>
    <row r="134" spans="1:9" x14ac:dyDescent="0.2">
      <c r="A134" s="10">
        <v>42705</v>
      </c>
      <c r="B134" s="11">
        <v>0.04</v>
      </c>
      <c r="C134" s="9">
        <v>12.6758159</v>
      </c>
      <c r="D134" s="9">
        <v>-273.68635999999998</v>
      </c>
      <c r="E134" s="9">
        <v>18.051866499999999</v>
      </c>
      <c r="F134" s="9">
        <v>-5321267.4000000004</v>
      </c>
      <c r="G134" s="9">
        <v>18.935349200000001</v>
      </c>
      <c r="H134" s="12">
        <v>0.05</v>
      </c>
      <c r="I134" s="9">
        <v>-2.9957322739999999</v>
      </c>
    </row>
    <row r="135" spans="1:9" x14ac:dyDescent="0.2">
      <c r="A135" s="10">
        <v>42736</v>
      </c>
      <c r="B135" s="11">
        <v>3.6799999999999999E-2</v>
      </c>
      <c r="C135" s="9">
        <v>12.5978525</v>
      </c>
      <c r="D135" s="9">
        <v>-158.02313000000001</v>
      </c>
      <c r="E135" s="9">
        <v>18.0275374</v>
      </c>
      <c r="F135" s="9">
        <v>-6411555.7000000002</v>
      </c>
      <c r="G135" s="9">
        <v>18.918824900000001</v>
      </c>
      <c r="H135" s="12">
        <v>4.5999999999999999E-2</v>
      </c>
      <c r="I135" s="9">
        <v>-3.0791138820000001</v>
      </c>
    </row>
    <row r="136" spans="1:9" x14ac:dyDescent="0.2">
      <c r="A136" s="10">
        <v>42767</v>
      </c>
      <c r="B136" s="11">
        <v>3.4599999999999999E-2</v>
      </c>
      <c r="C136" s="9">
        <v>12.4341449</v>
      </c>
      <c r="D136" s="9">
        <v>-210.60194000000001</v>
      </c>
      <c r="E136" s="9">
        <v>18.024092400000001</v>
      </c>
      <c r="F136" s="9">
        <v>-6040074.0999999996</v>
      </c>
      <c r="G136" s="9">
        <v>18.920799500000001</v>
      </c>
      <c r="H136" s="12">
        <v>4.1000000000000002E-2</v>
      </c>
      <c r="I136" s="9">
        <v>-3.194183212</v>
      </c>
    </row>
    <row r="137" spans="1:9" x14ac:dyDescent="0.2">
      <c r="A137" s="10">
        <v>42795</v>
      </c>
      <c r="B137" s="11">
        <v>3.3399999999999999E-2</v>
      </c>
      <c r="C137" s="9">
        <v>12.579273000000001</v>
      </c>
      <c r="D137" s="9">
        <v>-177.74778000000001</v>
      </c>
      <c r="E137" s="9">
        <v>18.069550899999999</v>
      </c>
      <c r="F137" s="9">
        <v>-12531037</v>
      </c>
      <c r="G137" s="9">
        <v>18.918728000000002</v>
      </c>
      <c r="H137" s="12">
        <v>4.3999999999999997E-2</v>
      </c>
      <c r="I137" s="9">
        <v>-3.1349943410000001</v>
      </c>
    </row>
    <row r="138" spans="1:9" x14ac:dyDescent="0.2">
      <c r="A138" s="10">
        <v>42826</v>
      </c>
      <c r="B138" s="11">
        <v>2.5100000000000001E-2</v>
      </c>
      <c r="C138" s="9">
        <v>12.426537</v>
      </c>
      <c r="D138" s="9">
        <v>12.962044000000001</v>
      </c>
      <c r="E138" s="9">
        <v>18.046319400000002</v>
      </c>
      <c r="F138" s="9">
        <v>-14018335</v>
      </c>
      <c r="G138" s="9">
        <v>18.911083399999999</v>
      </c>
      <c r="H138" s="12">
        <v>4.2999999999999997E-2</v>
      </c>
      <c r="I138" s="9">
        <v>-3.1465551629999999</v>
      </c>
    </row>
    <row r="139" spans="1:9" x14ac:dyDescent="0.2">
      <c r="A139" s="10">
        <v>42856</v>
      </c>
      <c r="B139" s="11">
        <v>1.2500000000000001E-2</v>
      </c>
      <c r="C139" s="9">
        <v>12.563627200000001</v>
      </c>
      <c r="D139" s="9">
        <v>-90.348178000000004</v>
      </c>
      <c r="E139" s="9">
        <v>18.068854600000002</v>
      </c>
      <c r="F139" s="9">
        <v>-14471898</v>
      </c>
      <c r="G139" s="9">
        <v>18.919753799999999</v>
      </c>
      <c r="H139" s="12">
        <v>0.04</v>
      </c>
      <c r="I139" s="9">
        <v>-3.218875825</v>
      </c>
    </row>
    <row r="140" spans="1:9" x14ac:dyDescent="0.2">
      <c r="A140" s="10">
        <v>42887</v>
      </c>
      <c r="B140" s="11">
        <v>1.84E-2</v>
      </c>
      <c r="C140" s="9">
        <v>12.549716</v>
      </c>
      <c r="D140" s="9">
        <v>-31.476292999999998</v>
      </c>
      <c r="E140" s="9">
        <v>18.0739193</v>
      </c>
      <c r="F140" s="9">
        <v>-12802392</v>
      </c>
      <c r="G140" s="9">
        <v>18.942232799999999</v>
      </c>
      <c r="H140" s="12">
        <v>0.04</v>
      </c>
      <c r="I140" s="9">
        <v>-3.218875825</v>
      </c>
    </row>
    <row r="141" spans="1:9" x14ac:dyDescent="0.2">
      <c r="A141" s="10">
        <v>42917</v>
      </c>
      <c r="B141" s="11">
        <v>2.5700000000000001E-2</v>
      </c>
      <c r="C141" s="9">
        <v>12.63123</v>
      </c>
      <c r="D141" s="9">
        <v>13.718174299999999</v>
      </c>
      <c r="E141" s="9">
        <v>18.078963099999999</v>
      </c>
      <c r="F141" s="9">
        <v>-12825425</v>
      </c>
      <c r="G141" s="9">
        <v>18.9463884</v>
      </c>
      <c r="H141" s="12">
        <v>0.04</v>
      </c>
      <c r="I141" s="9">
        <v>-3.218875825</v>
      </c>
    </row>
    <row r="142" spans="1:9" x14ac:dyDescent="0.2">
      <c r="A142" s="10">
        <v>42948</v>
      </c>
      <c r="B142" s="11">
        <v>3.2500000000000001E-2</v>
      </c>
      <c r="C142" s="9">
        <v>12.731784299999999</v>
      </c>
      <c r="D142" s="9">
        <v>-94.193483999999998</v>
      </c>
      <c r="E142" s="9">
        <v>18.0880297</v>
      </c>
      <c r="F142" s="9">
        <v>-12367107</v>
      </c>
      <c r="G142" s="9">
        <v>18.957082700000001</v>
      </c>
      <c r="H142" s="12">
        <v>0.04</v>
      </c>
      <c r="I142" s="9">
        <v>-3.221378955</v>
      </c>
    </row>
    <row r="143" spans="1:9" x14ac:dyDescent="0.2">
      <c r="A143" s="10">
        <v>42979</v>
      </c>
      <c r="B143" s="11">
        <v>3.61E-2</v>
      </c>
      <c r="C143" s="9">
        <v>12.675796399999999</v>
      </c>
      <c r="D143" s="9">
        <v>-27.883330999999998</v>
      </c>
      <c r="E143" s="9">
        <v>18.056674600000001</v>
      </c>
      <c r="F143" s="9">
        <v>-7751136.5</v>
      </c>
      <c r="G143" s="9">
        <v>18.9811698</v>
      </c>
      <c r="H143" s="12">
        <v>4.2000000000000003E-2</v>
      </c>
      <c r="I143" s="9">
        <v>-3.1820618519999999</v>
      </c>
    </row>
    <row r="144" spans="1:9" x14ac:dyDescent="0.2">
      <c r="A144" s="10">
        <v>43009</v>
      </c>
      <c r="B144" s="11">
        <v>3.0099999999999998E-2</v>
      </c>
      <c r="C144" s="9">
        <v>12.815936900000001</v>
      </c>
      <c r="D144" s="9">
        <v>-28.739076000000001</v>
      </c>
      <c r="E144" s="9">
        <v>18.037215799999998</v>
      </c>
      <c r="F144" s="9">
        <v>-5656510.7000000002</v>
      </c>
      <c r="G144" s="9">
        <v>18.9957338</v>
      </c>
      <c r="H144" s="12">
        <v>0.04</v>
      </c>
      <c r="I144" s="9">
        <v>-3.218875825</v>
      </c>
    </row>
    <row r="145" spans="1:9" x14ac:dyDescent="0.2">
      <c r="A145" s="10">
        <v>43040</v>
      </c>
      <c r="B145" s="11">
        <v>2.6700000000000002E-2</v>
      </c>
      <c r="C145" s="9">
        <v>12.663938099999999</v>
      </c>
      <c r="D145" s="9">
        <v>-118.11033</v>
      </c>
      <c r="E145" s="9">
        <v>18.105069400000001</v>
      </c>
      <c r="F145" s="9">
        <v>-5968685.9000000004</v>
      </c>
      <c r="G145" s="9">
        <v>19.004733099999999</v>
      </c>
      <c r="H145" s="12">
        <v>0.04</v>
      </c>
      <c r="I145" s="9">
        <v>-3.218875825</v>
      </c>
    </row>
    <row r="146" spans="1:9" x14ac:dyDescent="0.2">
      <c r="A146" s="10">
        <v>43070</v>
      </c>
      <c r="B146" s="11">
        <v>2.7099999999999999E-2</v>
      </c>
      <c r="C146" s="9">
        <v>12.606335</v>
      </c>
      <c r="D146" s="9">
        <v>-96.166878999999994</v>
      </c>
      <c r="E146" s="9">
        <v>18.069532899999999</v>
      </c>
      <c r="F146" s="9">
        <v>3023461.38</v>
      </c>
      <c r="G146" s="9">
        <v>19.0472468</v>
      </c>
      <c r="H146" s="12">
        <v>3.7999999999999999E-2</v>
      </c>
      <c r="I146" s="9">
        <v>-3.2701691190000002</v>
      </c>
    </row>
    <row r="147" spans="1:9" x14ac:dyDescent="0.2">
      <c r="A147" s="10">
        <v>43101</v>
      </c>
      <c r="B147" s="11">
        <v>2.93E-2</v>
      </c>
      <c r="C147" s="9">
        <v>12.578522</v>
      </c>
      <c r="D147" s="9">
        <v>-133.77615</v>
      </c>
      <c r="E147" s="9">
        <v>18.066155200000001</v>
      </c>
      <c r="F147" s="9">
        <v>736419.94099999999</v>
      </c>
      <c r="G147" s="9">
        <v>19.028555999999998</v>
      </c>
      <c r="H147" s="12">
        <v>3.5000000000000003E-2</v>
      </c>
      <c r="I147" s="9">
        <v>-3.3524072170000001</v>
      </c>
    </row>
    <row r="148" spans="1:9" x14ac:dyDescent="0.2">
      <c r="A148" s="10">
        <v>43132</v>
      </c>
      <c r="B148" s="11">
        <v>2.87E-2</v>
      </c>
      <c r="C148" s="9">
        <v>12.2860145</v>
      </c>
      <c r="D148" s="9">
        <v>-0.91215579999999996</v>
      </c>
      <c r="E148" s="9">
        <v>18.040291100000001</v>
      </c>
      <c r="F148" s="9">
        <v>113671.611</v>
      </c>
      <c r="G148" s="9">
        <v>19.024246600000001</v>
      </c>
      <c r="H148" s="12">
        <v>4.4999999999999998E-2</v>
      </c>
      <c r="I148" s="9">
        <v>-3.1100214199999998</v>
      </c>
    </row>
    <row r="149" spans="1:9" x14ac:dyDescent="0.2">
      <c r="A149" s="10">
        <v>43160</v>
      </c>
      <c r="B149" s="11">
        <v>2.7300000000000001E-2</v>
      </c>
      <c r="C149" s="9">
        <v>12.4735265</v>
      </c>
      <c r="D149" s="9">
        <v>-27.506976999999999</v>
      </c>
      <c r="E149" s="9">
        <v>18.024070300000002</v>
      </c>
      <c r="F149" s="9">
        <v>1842378.58</v>
      </c>
      <c r="G149" s="9">
        <v>19.031857800000001</v>
      </c>
      <c r="H149" s="12">
        <v>3.5000000000000003E-2</v>
      </c>
      <c r="I149" s="9">
        <v>-3.3524072170000001</v>
      </c>
    </row>
    <row r="150" spans="1:9" x14ac:dyDescent="0.2">
      <c r="A150" s="10">
        <v>43191</v>
      </c>
      <c r="B150" s="11">
        <v>3.0099999999999998E-2</v>
      </c>
      <c r="C150" s="9">
        <v>12.5856905</v>
      </c>
      <c r="D150" s="9">
        <v>-30.6876</v>
      </c>
      <c r="E150" s="9">
        <v>18.0032125</v>
      </c>
      <c r="F150" s="9">
        <v>-1197339.7</v>
      </c>
      <c r="G150" s="9">
        <v>19.027518400000002</v>
      </c>
      <c r="H150" s="12">
        <v>3.5000000000000003E-2</v>
      </c>
      <c r="I150" s="9">
        <v>-3.3667959550000002</v>
      </c>
    </row>
    <row r="151" spans="1:9" x14ac:dyDescent="0.2">
      <c r="A151" s="10">
        <v>43221</v>
      </c>
      <c r="B151" s="11">
        <v>3.15E-2</v>
      </c>
      <c r="C151" s="9">
        <v>12.577143700000001</v>
      </c>
      <c r="D151" s="9">
        <v>98.532496800000004</v>
      </c>
      <c r="E151" s="9">
        <v>18.019373000000002</v>
      </c>
      <c r="F151" s="9">
        <v>914263.06099999999</v>
      </c>
      <c r="G151" s="9">
        <v>19.044920699999999</v>
      </c>
      <c r="H151" s="12">
        <v>3.7999999999999999E-2</v>
      </c>
      <c r="I151" s="9">
        <v>-3.2701691190000002</v>
      </c>
    </row>
    <row r="152" spans="1:9" x14ac:dyDescent="0.2">
      <c r="A152" s="10">
        <v>43252</v>
      </c>
      <c r="B152" s="11">
        <v>3.1699999999999999E-2</v>
      </c>
      <c r="C152" s="9">
        <v>12.603944500000001</v>
      </c>
      <c r="D152" s="9">
        <v>-6.3820081000000002</v>
      </c>
      <c r="E152" s="9">
        <v>17.9948479</v>
      </c>
      <c r="F152" s="9">
        <v>3694556.22</v>
      </c>
      <c r="G152" s="9">
        <v>19.0599022</v>
      </c>
      <c r="H152" s="12">
        <v>3.5000000000000003E-2</v>
      </c>
      <c r="I152" s="9">
        <v>-3.3524072170000001</v>
      </c>
    </row>
    <row r="153" spans="1:9" x14ac:dyDescent="0.2">
      <c r="A153" s="10">
        <v>43282</v>
      </c>
      <c r="B153" s="11">
        <v>2.4400000000000002E-2</v>
      </c>
      <c r="C153" s="9">
        <v>12.778516099999999</v>
      </c>
      <c r="D153" s="9">
        <v>2.4910670600000002</v>
      </c>
      <c r="E153" s="9">
        <v>17.9665453</v>
      </c>
      <c r="F153" s="9">
        <v>3158334.53</v>
      </c>
      <c r="G153" s="9">
        <v>19.0550076</v>
      </c>
      <c r="H153" s="12">
        <v>0.04</v>
      </c>
      <c r="I153" s="9">
        <v>-3.218875825</v>
      </c>
    </row>
    <row r="154" spans="1:9" x14ac:dyDescent="0.2">
      <c r="A154" s="10">
        <v>43313</v>
      </c>
      <c r="B154" s="11">
        <v>1.8200000000000001E-2</v>
      </c>
      <c r="C154" s="9">
        <v>12.767141199999999</v>
      </c>
      <c r="D154" s="9">
        <v>-31.410809</v>
      </c>
      <c r="E154" s="9">
        <v>17.9472497</v>
      </c>
      <c r="F154" s="9">
        <v>5154162.53</v>
      </c>
      <c r="G154" s="9">
        <v>19.069492499999999</v>
      </c>
      <c r="H154" s="12">
        <v>3.5000000000000003E-2</v>
      </c>
      <c r="I154" s="9">
        <v>-3.3524072170000001</v>
      </c>
    </row>
    <row r="155" spans="1:9" x14ac:dyDescent="0.2">
      <c r="A155" s="10">
        <v>43344</v>
      </c>
      <c r="B155" s="11">
        <v>9.1999999999999998E-3</v>
      </c>
      <c r="C155" s="9">
        <v>12.726839699999999</v>
      </c>
      <c r="D155" s="9">
        <v>10.7190201</v>
      </c>
      <c r="E155" s="9">
        <v>17.907906199999999</v>
      </c>
      <c r="F155" s="9">
        <v>6914151.0300000003</v>
      </c>
      <c r="G155" s="9">
        <v>19.063649999999999</v>
      </c>
      <c r="H155" s="12">
        <v>3.2000000000000001E-2</v>
      </c>
      <c r="I155" s="9">
        <v>-3.4577677329999998</v>
      </c>
    </row>
    <row r="156" spans="1:9" x14ac:dyDescent="0.2">
      <c r="A156" s="10">
        <v>43374</v>
      </c>
      <c r="B156" s="11">
        <v>1.3100000000000001E-2</v>
      </c>
      <c r="C156" s="9">
        <v>12.801562499999999</v>
      </c>
      <c r="D156" s="9">
        <v>-213.61635000000001</v>
      </c>
      <c r="E156" s="9">
        <v>17.882031000000001</v>
      </c>
      <c r="F156" s="9">
        <v>8795146.8599999994</v>
      </c>
      <c r="G156" s="9">
        <v>19.072751499999999</v>
      </c>
      <c r="H156" s="12">
        <v>2.5999999999999999E-2</v>
      </c>
      <c r="I156" s="9">
        <v>-3.6496587410000001</v>
      </c>
    </row>
    <row r="157" spans="1:9" x14ac:dyDescent="0.2">
      <c r="A157" s="10">
        <v>43405</v>
      </c>
      <c r="B157" s="11">
        <v>1.4999999999999999E-2</v>
      </c>
      <c r="C157" s="9">
        <v>12.792817100000001</v>
      </c>
      <c r="D157" s="9">
        <v>-229.05573000000001</v>
      </c>
      <c r="E157" s="9">
        <v>17.909080299999999</v>
      </c>
      <c r="F157" s="9">
        <v>6106142.9299999997</v>
      </c>
      <c r="G157" s="9">
        <v>19.068321300000001</v>
      </c>
      <c r="H157" s="12">
        <v>3.1E-2</v>
      </c>
      <c r="I157" s="9">
        <v>-3.4737680740000001</v>
      </c>
    </row>
    <row r="158" spans="1:9" x14ac:dyDescent="0.2">
      <c r="A158" s="10">
        <v>43435</v>
      </c>
      <c r="B158" s="11">
        <v>1.5100000000000001E-2</v>
      </c>
      <c r="C158" s="9">
        <v>12.6436329</v>
      </c>
      <c r="D158" s="9">
        <v>-329.95042999999998</v>
      </c>
      <c r="E158" s="9">
        <v>17.932458100000002</v>
      </c>
      <c r="F158" s="9">
        <v>16084795.4</v>
      </c>
      <c r="G158" s="9">
        <v>19.113350100000002</v>
      </c>
      <c r="H158" s="12">
        <v>2.5000000000000001E-2</v>
      </c>
      <c r="I158" s="9">
        <v>-3.6888794539999998</v>
      </c>
    </row>
    <row r="159" spans="1:9" x14ac:dyDescent="0.2">
      <c r="A159" s="10">
        <v>43466</v>
      </c>
      <c r="B159" s="11">
        <v>1.43E-2</v>
      </c>
      <c r="C159" s="9">
        <v>12.7308795</v>
      </c>
      <c r="D159" s="9">
        <v>-199.28712999999999</v>
      </c>
      <c r="E159" s="9">
        <v>17.907245700000001</v>
      </c>
      <c r="F159" s="9">
        <v>13642538.199999999</v>
      </c>
      <c r="G159" s="9">
        <v>19.086971800000001</v>
      </c>
      <c r="H159" s="12">
        <v>0.03</v>
      </c>
      <c r="I159" s="9">
        <v>-3.506557897</v>
      </c>
    </row>
    <row r="160" spans="1:9" x14ac:dyDescent="0.2">
      <c r="A160" s="10">
        <v>43497</v>
      </c>
      <c r="B160" s="11">
        <v>9.4999999999999998E-3</v>
      </c>
      <c r="C160" s="9">
        <v>12.599900699999999</v>
      </c>
      <c r="D160" s="9">
        <v>-203.40366</v>
      </c>
      <c r="E160" s="9">
        <v>17.878320200000001</v>
      </c>
      <c r="F160" s="9">
        <v>14019484.9</v>
      </c>
      <c r="G160" s="9">
        <v>19.0834622</v>
      </c>
      <c r="H160" s="12">
        <v>2.5000000000000001E-2</v>
      </c>
      <c r="I160" s="9">
        <v>-3.6888794539999998</v>
      </c>
    </row>
    <row r="161" spans="1:9" x14ac:dyDescent="0.2">
      <c r="A161" s="10">
        <v>43525</v>
      </c>
      <c r="B161" s="11">
        <v>1.06E-2</v>
      </c>
      <c r="C161" s="9">
        <v>12.520149999999999</v>
      </c>
      <c r="D161" s="9">
        <v>-26.834810000000001</v>
      </c>
      <c r="E161" s="9">
        <v>17.813953399999999</v>
      </c>
      <c r="F161" s="9">
        <v>16522727</v>
      </c>
      <c r="G161" s="9">
        <v>19.085166999999998</v>
      </c>
      <c r="H161" s="12">
        <v>2.8000000000000001E-2</v>
      </c>
      <c r="I161" s="9">
        <v>-3.5755507689999999</v>
      </c>
    </row>
    <row r="162" spans="1:9" x14ac:dyDescent="0.2">
      <c r="A162" s="10">
        <v>43556</v>
      </c>
      <c r="B162" s="11">
        <v>1.35E-2</v>
      </c>
      <c r="C162" s="9">
        <v>12.5746406</v>
      </c>
      <c r="D162" s="9">
        <v>-153.96143000000001</v>
      </c>
      <c r="E162" s="9">
        <v>17.8705748</v>
      </c>
      <c r="F162" s="9">
        <v>14288030.199999999</v>
      </c>
      <c r="G162" s="9">
        <v>19.075512499999999</v>
      </c>
      <c r="H162" s="12">
        <v>0.03</v>
      </c>
      <c r="I162" s="9">
        <v>-3.506557897</v>
      </c>
    </row>
    <row r="163" spans="1:9" x14ac:dyDescent="0.2">
      <c r="A163" s="10">
        <v>43586</v>
      </c>
      <c r="B163" s="11">
        <v>1.6899999999999998E-2</v>
      </c>
      <c r="C163" s="9">
        <v>12.642368899999999</v>
      </c>
      <c r="D163" s="9">
        <v>-133.33026000000001</v>
      </c>
      <c r="E163" s="9">
        <v>17.8518361</v>
      </c>
      <c r="F163" s="9">
        <v>15635836</v>
      </c>
      <c r="G163" s="9">
        <v>19.0896671</v>
      </c>
      <c r="H163" s="12">
        <v>0.03</v>
      </c>
      <c r="I163" s="9">
        <v>-3.506557897</v>
      </c>
    </row>
    <row r="164" spans="1:9" x14ac:dyDescent="0.2">
      <c r="A164" s="10">
        <v>43617</v>
      </c>
      <c r="B164" s="11">
        <v>1.7299999999999999E-2</v>
      </c>
      <c r="C164" s="9">
        <v>12.7087006</v>
      </c>
      <c r="D164" s="9">
        <v>-3.4489486</v>
      </c>
      <c r="E164" s="9">
        <v>17.859506100000001</v>
      </c>
      <c r="F164" s="9">
        <v>17164347</v>
      </c>
      <c r="G164" s="9">
        <v>19.096427500000001</v>
      </c>
      <c r="H164" s="12">
        <v>2.5000000000000001E-2</v>
      </c>
      <c r="I164" s="9">
        <v>-3.6888794539999998</v>
      </c>
    </row>
    <row r="165" spans="1:9" x14ac:dyDescent="0.2">
      <c r="A165" s="10">
        <v>43647</v>
      </c>
      <c r="B165" s="11">
        <v>1.9199999999999998E-2</v>
      </c>
      <c r="C165" s="9">
        <v>12.7919318</v>
      </c>
      <c r="D165" s="9">
        <v>40.799770600000002</v>
      </c>
      <c r="E165" s="9">
        <v>17.826467399999999</v>
      </c>
      <c r="F165" s="9">
        <v>17266163.199999999</v>
      </c>
      <c r="G165" s="9">
        <v>19.093289599999999</v>
      </c>
      <c r="H165" s="12">
        <v>0.03</v>
      </c>
      <c r="I165" s="9">
        <v>-3.506557897</v>
      </c>
    </row>
    <row r="166" spans="1:9" x14ac:dyDescent="0.2">
      <c r="A166" s="10">
        <v>43678</v>
      </c>
      <c r="B166" s="11">
        <v>2.2499999999999999E-2</v>
      </c>
      <c r="C166" s="9">
        <v>12.819960099999999</v>
      </c>
      <c r="D166" s="9">
        <v>-46.136707999999999</v>
      </c>
      <c r="E166" s="9">
        <v>17.8239932</v>
      </c>
      <c r="F166" s="9">
        <v>18138417.300000001</v>
      </c>
      <c r="G166" s="9">
        <v>19.096773599999999</v>
      </c>
      <c r="H166" s="12">
        <v>0.03</v>
      </c>
      <c r="I166" s="9">
        <v>-3.506557897</v>
      </c>
    </row>
    <row r="167" spans="1:9" x14ac:dyDescent="0.2">
      <c r="A167" s="10">
        <v>43709</v>
      </c>
      <c r="B167" s="11">
        <v>2.2599999999999999E-2</v>
      </c>
      <c r="C167" s="9">
        <v>12.8626191</v>
      </c>
      <c r="D167" s="9">
        <v>44.408610500000002</v>
      </c>
      <c r="E167" s="9">
        <v>17.7759532</v>
      </c>
      <c r="F167" s="9">
        <v>20192131.5</v>
      </c>
      <c r="G167" s="9">
        <v>19.098578</v>
      </c>
      <c r="H167" s="12">
        <v>3.4000000000000002E-2</v>
      </c>
      <c r="I167" s="9">
        <v>-3.381394754</v>
      </c>
    </row>
    <row r="168" spans="1:9" x14ac:dyDescent="0.2">
      <c r="A168" s="10">
        <v>43739</v>
      </c>
      <c r="B168" s="11">
        <v>2.5399999999999999E-2</v>
      </c>
      <c r="C168" s="9">
        <v>12.8473501</v>
      </c>
      <c r="D168" s="9">
        <v>-9.6735088000000005</v>
      </c>
      <c r="E168" s="9">
        <v>17.662515299999999</v>
      </c>
      <c r="F168" s="9">
        <v>22392903.399999999</v>
      </c>
      <c r="G168" s="9">
        <v>19.0914173</v>
      </c>
      <c r="H168" s="12">
        <v>2.5000000000000001E-2</v>
      </c>
      <c r="I168" s="9">
        <v>-3.6888794539999998</v>
      </c>
    </row>
    <row r="169" spans="1:9" x14ac:dyDescent="0.2">
      <c r="A169" s="10">
        <v>43770</v>
      </c>
      <c r="B169" s="11">
        <v>3.4099999999999998E-2</v>
      </c>
      <c r="C169" s="9">
        <v>12.5546294</v>
      </c>
      <c r="D169" s="9">
        <v>54.910830300000001</v>
      </c>
      <c r="E169" s="9">
        <v>17.606776700000001</v>
      </c>
      <c r="F169" s="9">
        <v>22624096.699999999</v>
      </c>
      <c r="G169" s="9">
        <v>19.0684185</v>
      </c>
      <c r="H169" s="12">
        <v>3.9E-2</v>
      </c>
      <c r="I169" s="9">
        <v>-3.2441936330000001</v>
      </c>
    </row>
    <row r="170" spans="1:9" x14ac:dyDescent="0.2">
      <c r="A170" s="10">
        <v>43800</v>
      </c>
      <c r="B170" s="11">
        <v>1.47E-2</v>
      </c>
      <c r="C170" s="9">
        <v>12.74216</v>
      </c>
      <c r="D170" s="9">
        <v>-255.08123000000001</v>
      </c>
      <c r="E170" s="9">
        <v>17.608012800000001</v>
      </c>
      <c r="F170" s="9">
        <v>27321855.600000001</v>
      </c>
      <c r="G170" s="9">
        <v>19.097406100000001</v>
      </c>
      <c r="H170" s="12">
        <v>0.04</v>
      </c>
      <c r="I170" s="9">
        <v>-3.218875825</v>
      </c>
    </row>
    <row r="171" spans="1:9" x14ac:dyDescent="0.2">
      <c r="A171" s="10">
        <v>43831</v>
      </c>
      <c r="B171" s="11">
        <v>1.21E-2</v>
      </c>
      <c r="C171" s="9">
        <v>12.623530499999999</v>
      </c>
      <c r="D171" s="9">
        <v>20.8212501</v>
      </c>
      <c r="E171" s="9">
        <v>17.5933742</v>
      </c>
      <c r="F171" s="9">
        <v>25248256.300000001</v>
      </c>
      <c r="G171" s="9">
        <v>19.071180600000002</v>
      </c>
      <c r="H171" s="12">
        <v>0.03</v>
      </c>
      <c r="I171" s="9">
        <v>-3.506557897</v>
      </c>
    </row>
    <row r="172" spans="1:9" x14ac:dyDescent="0.2">
      <c r="A172" s="10">
        <v>43862</v>
      </c>
      <c r="B172" s="11">
        <v>1.2999999999999999E-2</v>
      </c>
      <c r="C172" s="9">
        <v>12.479508600000001</v>
      </c>
      <c r="D172" s="9">
        <v>33.449373700000002</v>
      </c>
      <c r="E172" s="9">
        <v>17.583304800000001</v>
      </c>
      <c r="F172" s="9">
        <v>26622874.100000001</v>
      </c>
      <c r="G172" s="9">
        <v>19.072254999999998</v>
      </c>
      <c r="H172" s="12">
        <v>2.5000000000000001E-2</v>
      </c>
      <c r="I172" s="9">
        <v>-3.6888794539999998</v>
      </c>
    </row>
    <row r="173" spans="1:9" x14ac:dyDescent="0.2">
      <c r="A173" s="10">
        <v>43891</v>
      </c>
      <c r="B173" s="11">
        <v>1.44E-2</v>
      </c>
      <c r="C173" s="9">
        <v>12.1687332</v>
      </c>
      <c r="D173" s="9">
        <v>50.521220999999997</v>
      </c>
      <c r="E173" s="9">
        <v>17.5479606</v>
      </c>
      <c r="F173" s="9">
        <v>32394505.699999999</v>
      </c>
      <c r="G173" s="9">
        <v>19.096652500000001</v>
      </c>
      <c r="H173" s="12">
        <v>2.1999999999999999E-2</v>
      </c>
      <c r="I173" s="9">
        <v>-3.8167128259999998</v>
      </c>
    </row>
    <row r="174" spans="1:9" x14ac:dyDescent="0.2">
      <c r="A174" s="10">
        <v>43922</v>
      </c>
      <c r="B174" s="11">
        <v>1.72E-2</v>
      </c>
      <c r="C174" s="9">
        <v>10.576982599999999</v>
      </c>
      <c r="D174" s="9">
        <v>-44.139952000000001</v>
      </c>
      <c r="E174" s="9">
        <v>17.617984799999999</v>
      </c>
      <c r="F174" s="9">
        <v>34761213.600000001</v>
      </c>
      <c r="G174" s="9">
        <v>19.1285138</v>
      </c>
      <c r="H174" s="12">
        <v>3.5000000000000003E-2</v>
      </c>
      <c r="I174" s="9">
        <v>-3.3524072170000001</v>
      </c>
    </row>
    <row r="175" spans="1:9" x14ac:dyDescent="0.2">
      <c r="A175" s="10">
        <v>43952</v>
      </c>
      <c r="B175" s="11">
        <v>1.23E-2</v>
      </c>
      <c r="C175" s="9">
        <v>11.7837181</v>
      </c>
      <c r="D175" s="9">
        <v>-60.117921000000003</v>
      </c>
      <c r="E175" s="9">
        <v>17.595910100000001</v>
      </c>
      <c r="F175" s="9">
        <v>37598565</v>
      </c>
      <c r="G175" s="9">
        <v>19.148321599999999</v>
      </c>
      <c r="H175" s="12">
        <v>2.5999999999999999E-2</v>
      </c>
      <c r="I175" s="9">
        <v>-3.6496587410000001</v>
      </c>
    </row>
    <row r="176" spans="1:9" x14ac:dyDescent="0.2">
      <c r="A176" s="10">
        <v>43983</v>
      </c>
      <c r="B176" s="11">
        <v>1.44E-2</v>
      </c>
      <c r="C176" s="9">
        <v>12.347475899999999</v>
      </c>
      <c r="D176" s="9">
        <v>40.930631300000002</v>
      </c>
      <c r="E176" s="9">
        <v>17.577371800000002</v>
      </c>
      <c r="F176" s="9">
        <v>38565855.899999999</v>
      </c>
      <c r="G176" s="9">
        <v>19.151228400000001</v>
      </c>
      <c r="H176" s="12">
        <v>0.02</v>
      </c>
      <c r="I176" s="9">
        <v>-3.912023005</v>
      </c>
    </row>
    <row r="177" spans="1:9" x14ac:dyDescent="0.2">
      <c r="A177" s="10">
        <v>44013</v>
      </c>
      <c r="B177" s="11">
        <v>1.35E-2</v>
      </c>
      <c r="C177" s="9">
        <v>12.353034600000001</v>
      </c>
      <c r="D177" s="9">
        <v>-19.287617999999998</v>
      </c>
      <c r="E177" s="9">
        <v>17.629534400000001</v>
      </c>
      <c r="F177" s="9">
        <v>38289491.399999999</v>
      </c>
      <c r="G177" s="9">
        <v>19.148197199999998</v>
      </c>
      <c r="H177" s="12">
        <v>0.02</v>
      </c>
      <c r="I177" s="9">
        <v>-3.912023005</v>
      </c>
    </row>
    <row r="178" spans="1:9" x14ac:dyDescent="0.2">
      <c r="A178" s="10">
        <v>44044</v>
      </c>
      <c r="B178" s="11">
        <v>1.3899999999999999E-2</v>
      </c>
      <c r="C178" s="9">
        <v>12.4245324</v>
      </c>
      <c r="D178" s="9">
        <v>36.102654399999999</v>
      </c>
      <c r="E178" s="9">
        <v>17.634959599999998</v>
      </c>
      <c r="F178" s="9">
        <v>39697015.700000003</v>
      </c>
      <c r="G178" s="9">
        <v>19.157372299999999</v>
      </c>
      <c r="H178" s="12">
        <v>0.02</v>
      </c>
      <c r="I178" s="9">
        <v>-3.912023005</v>
      </c>
    </row>
    <row r="179" spans="1:9" x14ac:dyDescent="0.2">
      <c r="A179" s="10">
        <v>44075</v>
      </c>
      <c r="B179" s="11">
        <v>4.5999999999999999E-3</v>
      </c>
      <c r="C179" s="9">
        <v>12.728024400000001</v>
      </c>
      <c r="D179" s="9">
        <v>-77.502145999999996</v>
      </c>
      <c r="E179" s="9">
        <v>17.590584400000001</v>
      </c>
      <c r="F179" s="9">
        <v>40776014.799999997</v>
      </c>
      <c r="G179" s="9">
        <v>19.156194299999999</v>
      </c>
      <c r="H179" s="12">
        <v>2.1000000000000001E-2</v>
      </c>
      <c r="I179" s="9">
        <v>-3.8584822390000002</v>
      </c>
    </row>
    <row r="180" spans="1:9" x14ac:dyDescent="0.2">
      <c r="A180" s="10">
        <v>44105</v>
      </c>
      <c r="B180" s="11">
        <v>2.8E-3</v>
      </c>
      <c r="C180" s="9">
        <v>12.8556437</v>
      </c>
      <c r="D180" s="9">
        <v>-14.55255</v>
      </c>
      <c r="E180" s="9">
        <v>17.460058700000001</v>
      </c>
      <c r="F180" s="9">
        <v>42371454.600000001</v>
      </c>
      <c r="G180" s="9">
        <v>19.151540399999998</v>
      </c>
      <c r="H180" s="12">
        <v>2.5000000000000001E-2</v>
      </c>
      <c r="I180" s="9">
        <v>-3.6888794539999998</v>
      </c>
    </row>
    <row r="181" spans="1:9" x14ac:dyDescent="0.2">
      <c r="A181" s="10">
        <v>44136</v>
      </c>
      <c r="B181" s="11">
        <v>-1.0999999999999999E-2</v>
      </c>
      <c r="C181" s="9">
        <v>12.7447357</v>
      </c>
      <c r="D181" s="9">
        <v>145.66167899999999</v>
      </c>
      <c r="E181" s="9">
        <v>17.409777200000001</v>
      </c>
      <c r="F181" s="9">
        <v>42609137.200000003</v>
      </c>
      <c r="G181" s="9">
        <v>19.154959999999999</v>
      </c>
      <c r="H181" s="12">
        <v>2.5000000000000001E-2</v>
      </c>
      <c r="I181" s="9">
        <v>-3.6888794539999998</v>
      </c>
    </row>
    <row r="182" spans="1:9" x14ac:dyDescent="0.2">
      <c r="A182" s="10">
        <v>44166</v>
      </c>
      <c r="B182" s="11">
        <v>6.7000000000000002E-3</v>
      </c>
      <c r="C182" s="9">
        <v>12.7009627</v>
      </c>
      <c r="D182" s="9">
        <v>25.4672126</v>
      </c>
      <c r="E182" s="9">
        <v>17.4043755</v>
      </c>
      <c r="F182" s="9">
        <v>52638866</v>
      </c>
      <c r="G182" s="9">
        <v>19.202128800000001</v>
      </c>
      <c r="H182" s="12">
        <v>2.5000000000000001E-2</v>
      </c>
      <c r="I182" s="9">
        <v>-3.6888794539999998</v>
      </c>
    </row>
    <row r="183" spans="1:9" x14ac:dyDescent="0.2">
      <c r="A183" s="10">
        <v>44197</v>
      </c>
      <c r="B183" s="11">
        <v>1.17E-2</v>
      </c>
      <c r="C183" s="9">
        <v>12.3587136</v>
      </c>
      <c r="D183" s="9">
        <v>171.55075099999999</v>
      </c>
      <c r="E183" s="9">
        <v>17.3433815</v>
      </c>
      <c r="F183" s="9">
        <v>53526233.5</v>
      </c>
      <c r="G183" s="9">
        <v>19.187629699999999</v>
      </c>
      <c r="H183" s="12">
        <v>0.02</v>
      </c>
      <c r="I183" s="9">
        <v>-3.912023005</v>
      </c>
    </row>
    <row r="184" spans="1:9" x14ac:dyDescent="0.2">
      <c r="A184" s="10">
        <v>44228</v>
      </c>
      <c r="B184" s="11">
        <v>1.4E-2</v>
      </c>
      <c r="C184" s="9">
        <v>12.337182</v>
      </c>
      <c r="D184" s="9">
        <v>129.153738</v>
      </c>
      <c r="E184" s="9">
        <v>17.303537299999999</v>
      </c>
      <c r="F184" s="9">
        <v>51866818.600000001</v>
      </c>
      <c r="G184" s="9">
        <v>19.177858199999999</v>
      </c>
      <c r="H184" s="12">
        <v>2.1000000000000001E-2</v>
      </c>
      <c r="I184" s="9">
        <v>-3.8873303930000001</v>
      </c>
    </row>
    <row r="185" spans="1:9" x14ac:dyDescent="0.2">
      <c r="A185" s="10">
        <v>44256</v>
      </c>
      <c r="B185" s="11">
        <v>1.1599999999999999E-2</v>
      </c>
      <c r="C185" s="9">
        <v>12.579444799999999</v>
      </c>
      <c r="D185" s="9">
        <v>133.55667700000001</v>
      </c>
      <c r="E185" s="9">
        <v>17.251032299999999</v>
      </c>
      <c r="F185" s="9">
        <v>52730535.899999999</v>
      </c>
      <c r="G185" s="9">
        <v>19.172431499999998</v>
      </c>
      <c r="H185" s="12">
        <v>2.1000000000000001E-2</v>
      </c>
      <c r="I185" s="9">
        <v>-3.8632328409999999</v>
      </c>
    </row>
    <row r="186" spans="1:9" x14ac:dyDescent="0.2">
      <c r="A186" s="10">
        <v>44287</v>
      </c>
      <c r="B186" s="11">
        <v>6.7999999999999996E-3</v>
      </c>
      <c r="C186" s="9">
        <v>12.566076900000001</v>
      </c>
      <c r="D186" s="9">
        <v>205.20190400000001</v>
      </c>
      <c r="E186" s="9">
        <v>17.273458900000001</v>
      </c>
      <c r="F186" s="9">
        <v>51652694.899999999</v>
      </c>
      <c r="G186" s="9">
        <v>19.176277800000001</v>
      </c>
      <c r="H186" s="12">
        <v>1.6E-2</v>
      </c>
      <c r="I186" s="9">
        <v>-4.1351665569999998</v>
      </c>
    </row>
    <row r="187" spans="1:9" x14ac:dyDescent="0.2">
      <c r="A187" s="10">
        <v>44317</v>
      </c>
      <c r="B187" s="11">
        <v>5.4000000000000003E-3</v>
      </c>
      <c r="C187" s="9">
        <v>12.594817600000001</v>
      </c>
      <c r="D187" s="9">
        <v>273.24445100000003</v>
      </c>
      <c r="E187" s="9">
        <v>17.327746699999999</v>
      </c>
      <c r="F187" s="9">
        <v>51202807.299999997</v>
      </c>
      <c r="G187" s="9">
        <v>19.177997000000001</v>
      </c>
      <c r="H187" s="12">
        <v>1.9E-2</v>
      </c>
      <c r="I187" s="9">
        <v>-3.9633162999999998</v>
      </c>
    </row>
    <row r="188" spans="1:9" x14ac:dyDescent="0.2">
      <c r="A188" s="10">
        <v>44348</v>
      </c>
      <c r="B188" s="11">
        <v>1.9E-3</v>
      </c>
      <c r="C188" s="9">
        <v>12.575702700000001</v>
      </c>
      <c r="D188" s="9">
        <v>168.91167899999999</v>
      </c>
      <c r="E188" s="9">
        <v>17.272536599999999</v>
      </c>
      <c r="F188" s="9">
        <v>51687698</v>
      </c>
      <c r="G188" s="9">
        <v>19.182754899999999</v>
      </c>
      <c r="H188" s="12">
        <v>1.7999999999999999E-2</v>
      </c>
      <c r="I188" s="9">
        <v>-4.0173835210000002</v>
      </c>
    </row>
    <row r="189" spans="1:9" x14ac:dyDescent="0.2">
      <c r="A189" s="10">
        <v>44378</v>
      </c>
      <c r="B189" s="11">
        <v>2E-3</v>
      </c>
      <c r="C189" s="9">
        <v>12.6940062</v>
      </c>
      <c r="D189" s="9">
        <v>258.57946900000002</v>
      </c>
      <c r="E189" s="9">
        <v>17.298427100000001</v>
      </c>
      <c r="F189" s="9">
        <v>51909235.5</v>
      </c>
      <c r="G189" s="9">
        <v>19.186479200000001</v>
      </c>
      <c r="H189" s="12">
        <v>1.7999999999999999E-2</v>
      </c>
      <c r="I189" s="9">
        <v>-4.0008542189999998</v>
      </c>
    </row>
    <row r="190" spans="1:9" x14ac:dyDescent="0.2">
      <c r="A190" s="10">
        <v>44409</v>
      </c>
      <c r="B190" s="11">
        <v>1.8E-3</v>
      </c>
      <c r="C190" s="9">
        <v>12.7362237</v>
      </c>
      <c r="D190" s="9">
        <v>248.77299099999999</v>
      </c>
      <c r="E190" s="9">
        <v>17.373637899999999</v>
      </c>
      <c r="F190" s="9">
        <v>52706555.399999999</v>
      </c>
      <c r="G190" s="9">
        <v>19.199168400000001</v>
      </c>
      <c r="H190" s="12">
        <v>0.02</v>
      </c>
      <c r="I190" s="9">
        <v>-3.912023005</v>
      </c>
    </row>
    <row r="191" spans="1:9" x14ac:dyDescent="0.2">
      <c r="A191" s="10">
        <v>44440</v>
      </c>
      <c r="B191" s="11">
        <v>9.9000000000000008E-3</v>
      </c>
      <c r="C191" s="9">
        <v>12.706794500000001</v>
      </c>
      <c r="D191" s="9">
        <v>187.580794</v>
      </c>
      <c r="E191" s="9">
        <v>17.316203099999999</v>
      </c>
      <c r="F191" s="9">
        <v>56172394.100000001</v>
      </c>
      <c r="G191" s="9">
        <v>19.213823000000001</v>
      </c>
      <c r="H191" s="12">
        <v>0.02</v>
      </c>
      <c r="I191" s="9">
        <v>-3.912023005</v>
      </c>
    </row>
    <row r="192" spans="1:9" x14ac:dyDescent="0.2">
      <c r="A192" s="10">
        <v>44470</v>
      </c>
      <c r="B192" s="11">
        <v>4.8999999999999998E-3</v>
      </c>
      <c r="C192" s="9">
        <v>12.8191822</v>
      </c>
      <c r="D192" s="9">
        <v>117.21417599999999</v>
      </c>
      <c r="E192" s="9">
        <v>17.328444699999999</v>
      </c>
      <c r="F192" s="9">
        <v>55949262.399999999</v>
      </c>
      <c r="G192" s="9">
        <v>19.213764300000001</v>
      </c>
      <c r="H192" s="12">
        <v>0.02</v>
      </c>
      <c r="I192" s="9">
        <v>-3.912023005</v>
      </c>
    </row>
    <row r="193" spans="1:9" x14ac:dyDescent="0.2">
      <c r="A193" s="10">
        <v>44501</v>
      </c>
      <c r="B193" s="11">
        <v>9.5999999999999992E-3</v>
      </c>
      <c r="C193" s="9">
        <v>12.6837398</v>
      </c>
      <c r="D193" s="9">
        <v>209.29432</v>
      </c>
      <c r="E193" s="9">
        <v>17.301940299999998</v>
      </c>
      <c r="F193" s="9">
        <v>56505510.299999997</v>
      </c>
      <c r="G193" s="9">
        <v>19.223527700000002</v>
      </c>
      <c r="H193" s="12">
        <v>0.02</v>
      </c>
      <c r="I193" s="9">
        <v>-3.912023005</v>
      </c>
    </row>
    <row r="194" spans="1:9" x14ac:dyDescent="0.2">
      <c r="A194" s="10">
        <v>44531</v>
      </c>
      <c r="B194" s="11">
        <v>8.9999999999999993E-3</v>
      </c>
      <c r="C194" s="9">
        <v>12.6220923</v>
      </c>
      <c r="D194" s="9">
        <v>35.621762500000003</v>
      </c>
      <c r="E194" s="9">
        <v>17.2998865</v>
      </c>
      <c r="F194" s="9">
        <v>63530289</v>
      </c>
      <c r="G194" s="9">
        <v>19.257918100000001</v>
      </c>
      <c r="H194" s="12">
        <v>2.7E-2</v>
      </c>
      <c r="I194" s="9">
        <v>-3.6306105460000002</v>
      </c>
    </row>
    <row r="195" spans="1:9" x14ac:dyDescent="0.2">
      <c r="A195" s="10"/>
      <c r="B195" s="11"/>
      <c r="C195" s="9"/>
      <c r="D195" s="9"/>
      <c r="E195" s="9"/>
      <c r="F195" s="9"/>
      <c r="G195" s="9"/>
      <c r="H195" s="12"/>
      <c r="I195" s="9"/>
    </row>
    <row r="196" spans="1:9" x14ac:dyDescent="0.2">
      <c r="A196" s="10"/>
      <c r="B196" s="11"/>
      <c r="C196" s="9"/>
      <c r="D196" s="9"/>
      <c r="E196" s="9"/>
      <c r="F196" s="9"/>
      <c r="G196" s="9"/>
      <c r="H196" s="12"/>
      <c r="I196" s="9"/>
    </row>
    <row r="197" spans="1:9" x14ac:dyDescent="0.2">
      <c r="A197" s="10"/>
      <c r="B197" s="11"/>
      <c r="C197" s="9"/>
      <c r="D197" s="9"/>
      <c r="E197" s="9"/>
      <c r="F197" s="9"/>
      <c r="G197" s="9"/>
      <c r="H197" s="12"/>
      <c r="I197" s="9"/>
    </row>
    <row r="198" spans="1:9" x14ac:dyDescent="0.2">
      <c r="A198" s="10"/>
      <c r="B198" s="11"/>
      <c r="C198" s="9"/>
      <c r="D198" s="9"/>
      <c r="E198" s="9"/>
      <c r="F198" s="9"/>
      <c r="G198" s="9"/>
      <c r="H198" s="12"/>
      <c r="I198" s="9"/>
    </row>
    <row r="199" spans="1:9" x14ac:dyDescent="0.2">
      <c r="A199" s="10"/>
      <c r="B199" s="11"/>
      <c r="C199" s="9"/>
      <c r="D199" s="9"/>
      <c r="E199" s="9"/>
      <c r="F199" s="9"/>
      <c r="G199" s="9"/>
      <c r="H199" s="12"/>
      <c r="I199" s="9"/>
    </row>
    <row r="200" spans="1:9" x14ac:dyDescent="0.2">
      <c r="A200" s="10"/>
      <c r="B200" s="11"/>
      <c r="C200" s="9"/>
      <c r="D200" s="9"/>
      <c r="E200" s="9"/>
      <c r="F200" s="9"/>
      <c r="G200" s="9"/>
      <c r="H200" s="12"/>
      <c r="I200" s="9"/>
    </row>
    <row r="201" spans="1:9" x14ac:dyDescent="0.2">
      <c r="A201" s="10"/>
      <c r="B201" s="11"/>
      <c r="C201" s="9"/>
      <c r="D201" s="9"/>
      <c r="E201" s="9"/>
      <c r="F201" s="9"/>
      <c r="G201" s="9"/>
      <c r="H201" s="12"/>
      <c r="I201" s="9"/>
    </row>
    <row r="202" spans="1:9" x14ac:dyDescent="0.2">
      <c r="A202" s="10"/>
      <c r="B202" s="11"/>
      <c r="C202" s="9"/>
      <c r="D202" s="9"/>
      <c r="E202" s="9"/>
      <c r="F202" s="9"/>
      <c r="G202" s="9"/>
      <c r="H202" s="12"/>
      <c r="I202" s="9"/>
    </row>
    <row r="203" spans="1:9" x14ac:dyDescent="0.2">
      <c r="A203" s="10"/>
      <c r="B203" s="11"/>
      <c r="C203" s="9"/>
      <c r="D203" s="9"/>
      <c r="E203" s="9"/>
      <c r="F203" s="9"/>
      <c r="G203" s="9"/>
      <c r="H203" s="12"/>
      <c r="I203" s="9"/>
    </row>
    <row r="204" spans="1:9" x14ac:dyDescent="0.2">
      <c r="A204" s="10"/>
      <c r="B204" s="11"/>
      <c r="C204" s="9"/>
      <c r="D204" s="9"/>
      <c r="E204" s="9"/>
      <c r="F204" s="9"/>
      <c r="G204" s="9"/>
      <c r="H204" s="12"/>
      <c r="I204" s="9"/>
    </row>
    <row r="205" spans="1:9" x14ac:dyDescent="0.2">
      <c r="A205" s="10"/>
      <c r="B205" s="11"/>
      <c r="C205" s="9"/>
      <c r="D205" s="9"/>
      <c r="E205" s="9"/>
      <c r="F205" s="9"/>
      <c r="G205" s="9"/>
      <c r="H205" s="12"/>
      <c r="I205" s="9"/>
    </row>
    <row r="206" spans="1:9" x14ac:dyDescent="0.2">
      <c r="A206" s="10"/>
      <c r="B206" s="11"/>
      <c r="C206" s="9"/>
      <c r="D206" s="9"/>
      <c r="E206" s="9"/>
      <c r="F206" s="9"/>
      <c r="G206" s="9"/>
      <c r="H206" s="12"/>
      <c r="I206" s="9"/>
    </row>
    <row r="207" spans="1:9" x14ac:dyDescent="0.2">
      <c r="A207" s="10"/>
      <c r="B207" s="11"/>
      <c r="C207" s="9"/>
      <c r="D207" s="9"/>
      <c r="E207" s="9"/>
      <c r="F207" s="9"/>
      <c r="G207" s="9"/>
      <c r="H207" s="12"/>
      <c r="I207" s="9"/>
    </row>
    <row r="208" spans="1:9" x14ac:dyDescent="0.2">
      <c r="A208" s="10"/>
      <c r="B208" s="11"/>
      <c r="C208" s="9"/>
      <c r="D208" s="9"/>
      <c r="E208" s="9"/>
      <c r="F208" s="9"/>
      <c r="G208" s="9"/>
      <c r="H208" s="12"/>
      <c r="I208" s="9"/>
    </row>
    <row r="209" spans="1:9" x14ac:dyDescent="0.2">
      <c r="A209" s="10"/>
      <c r="B209" s="11"/>
      <c r="C209" s="9"/>
      <c r="D209" s="9"/>
      <c r="E209" s="9"/>
      <c r="F209" s="9"/>
      <c r="G209" s="9"/>
      <c r="H209" s="12"/>
      <c r="I209" s="9"/>
    </row>
    <row r="210" spans="1:9" x14ac:dyDescent="0.2">
      <c r="A210" s="10"/>
      <c r="B210" s="11"/>
      <c r="C210" s="9"/>
      <c r="D210" s="9"/>
      <c r="E210" s="9"/>
      <c r="F210" s="9"/>
      <c r="G210" s="9"/>
      <c r="H210" s="12"/>
      <c r="I210" s="9"/>
    </row>
    <row r="211" spans="1:9" x14ac:dyDescent="0.2">
      <c r="A211" s="10"/>
      <c r="B211" s="11"/>
      <c r="C211" s="9"/>
      <c r="D211" s="9"/>
      <c r="E211" s="9"/>
      <c r="F211" s="9"/>
      <c r="G211" s="9"/>
      <c r="H211" s="12"/>
      <c r="I211" s="9"/>
    </row>
    <row r="212" spans="1:9" x14ac:dyDescent="0.2">
      <c r="A212" s="10"/>
      <c r="B212" s="11"/>
      <c r="C212" s="9"/>
      <c r="D212" s="9"/>
      <c r="E212" s="9"/>
      <c r="F212" s="9"/>
      <c r="G212" s="9"/>
      <c r="H212" s="12"/>
      <c r="I212" s="9"/>
    </row>
    <row r="213" spans="1:9" x14ac:dyDescent="0.2">
      <c r="A213" s="10"/>
      <c r="B213" s="11"/>
      <c r="C213" s="9"/>
      <c r="D213" s="9"/>
      <c r="E213" s="9"/>
      <c r="F213" s="9"/>
      <c r="G213" s="9"/>
      <c r="H213" s="12"/>
      <c r="I213" s="9"/>
    </row>
    <row r="214" spans="1:9" x14ac:dyDescent="0.2">
      <c r="A214" s="10"/>
      <c r="B214" s="11"/>
      <c r="C214" s="9"/>
      <c r="D214" s="9"/>
      <c r="E214" s="9"/>
      <c r="F214" s="9"/>
      <c r="G214" s="9"/>
      <c r="H214" s="12"/>
      <c r="I214" s="9"/>
    </row>
    <row r="215" spans="1:9" x14ac:dyDescent="0.2">
      <c r="A215" s="10"/>
      <c r="B215" s="11"/>
      <c r="C215" s="9"/>
      <c r="D215" s="9"/>
      <c r="E215" s="9"/>
      <c r="F215" s="9"/>
      <c r="G215" s="9"/>
      <c r="H215" s="12"/>
      <c r="I215" s="9"/>
    </row>
    <row r="216" spans="1:9" x14ac:dyDescent="0.2">
      <c r="A216" s="10"/>
      <c r="B216" s="11"/>
      <c r="C216" s="9"/>
      <c r="D216" s="9"/>
      <c r="E216" s="9"/>
      <c r="F216" s="9"/>
      <c r="G216" s="9"/>
      <c r="H216" s="12"/>
      <c r="I216" s="9"/>
    </row>
    <row r="217" spans="1:9" x14ac:dyDescent="0.2">
      <c r="A217" s="10"/>
      <c r="B217" s="11"/>
      <c r="C217" s="9"/>
      <c r="D217" s="9"/>
      <c r="E217" s="9"/>
      <c r="F217" s="9"/>
      <c r="G217" s="9"/>
      <c r="H217" s="12"/>
      <c r="I217" s="9"/>
    </row>
    <row r="218" spans="1:9" x14ac:dyDescent="0.2">
      <c r="A218" s="10"/>
      <c r="B218" s="11"/>
      <c r="C218" s="9"/>
      <c r="D218" s="9"/>
      <c r="E218" s="9"/>
      <c r="F218" s="9"/>
      <c r="G218" s="9"/>
      <c r="H218" s="12"/>
      <c r="I218" s="9"/>
    </row>
    <row r="219" spans="1:9" x14ac:dyDescent="0.2">
      <c r="A219" s="10"/>
      <c r="B219" s="11"/>
      <c r="C219" s="9"/>
      <c r="D219" s="9"/>
      <c r="E219" s="9"/>
      <c r="F219" s="9"/>
      <c r="G219" s="9"/>
      <c r="H219" s="12"/>
      <c r="I219" s="9"/>
    </row>
    <row r="220" spans="1:9" x14ac:dyDescent="0.2">
      <c r="A220" s="10"/>
      <c r="B220" s="11"/>
      <c r="C220" s="9"/>
      <c r="D220" s="9"/>
      <c r="E220" s="9"/>
      <c r="F220" s="9"/>
      <c r="G220" s="9"/>
      <c r="H220" s="12"/>
      <c r="I220" s="9"/>
    </row>
    <row r="221" spans="1:9" x14ac:dyDescent="0.2">
      <c r="A221" s="10"/>
      <c r="B221" s="11"/>
      <c r="C221" s="9"/>
      <c r="D221" s="9"/>
      <c r="E221" s="9"/>
      <c r="F221" s="9"/>
      <c r="G221" s="9"/>
      <c r="H221" s="12"/>
      <c r="I221" s="9"/>
    </row>
    <row r="222" spans="1:9" x14ac:dyDescent="0.2">
      <c r="A222" s="10"/>
      <c r="B222" s="11"/>
      <c r="C222" s="9"/>
      <c r="D222" s="9"/>
      <c r="E222" s="9"/>
      <c r="F222" s="9"/>
      <c r="G222" s="9"/>
      <c r="H222" s="12"/>
      <c r="I222" s="9"/>
    </row>
    <row r="223" spans="1:9" x14ac:dyDescent="0.2">
      <c r="A223" s="10"/>
      <c r="B223" s="11"/>
      <c r="C223" s="9"/>
      <c r="D223" s="9"/>
      <c r="E223" s="9"/>
      <c r="F223" s="9"/>
      <c r="G223" s="9"/>
      <c r="H223" s="12"/>
      <c r="I223" s="9"/>
    </row>
    <row r="224" spans="1:9" x14ac:dyDescent="0.2">
      <c r="A224" s="10"/>
      <c r="B224" s="11"/>
      <c r="C224" s="9"/>
      <c r="D224" s="9"/>
      <c r="E224" s="9"/>
      <c r="F224" s="9"/>
      <c r="G224" s="9"/>
      <c r="H224" s="12"/>
      <c r="I224" s="9"/>
    </row>
    <row r="225" spans="1:9" x14ac:dyDescent="0.2">
      <c r="A225" s="10"/>
      <c r="B225" s="11"/>
      <c r="C225" s="9"/>
      <c r="D225" s="9"/>
      <c r="E225" s="9"/>
      <c r="F225" s="9"/>
      <c r="G225" s="9"/>
      <c r="H225" s="12"/>
      <c r="I225" s="9"/>
    </row>
    <row r="226" spans="1:9" x14ac:dyDescent="0.2">
      <c r="A226" s="10"/>
      <c r="B226" s="11"/>
      <c r="C226" s="9"/>
      <c r="D226" s="9"/>
      <c r="E226" s="9"/>
      <c r="F226" s="9"/>
      <c r="G226" s="9"/>
      <c r="H226" s="12"/>
      <c r="I226" s="9"/>
    </row>
    <row r="227" spans="1:9" x14ac:dyDescent="0.2">
      <c r="A227" s="10"/>
      <c r="B227" s="11"/>
      <c r="C227" s="9"/>
      <c r="D227" s="9"/>
      <c r="E227" s="9"/>
      <c r="F227" s="9"/>
      <c r="G227" s="9"/>
      <c r="H227" s="12"/>
      <c r="I227" s="9"/>
    </row>
    <row r="228" spans="1:9" x14ac:dyDescent="0.2">
      <c r="A228" s="10"/>
      <c r="B228" s="11"/>
      <c r="C228" s="9"/>
      <c r="D228" s="9"/>
      <c r="E228" s="9"/>
      <c r="F228" s="9"/>
      <c r="G228" s="9"/>
      <c r="H228" s="12"/>
      <c r="I228" s="9"/>
    </row>
    <row r="229" spans="1:9" x14ac:dyDescent="0.2">
      <c r="A229" s="10"/>
      <c r="B229" s="11"/>
      <c r="C229" s="9"/>
      <c r="D229" s="9"/>
      <c r="E229" s="9"/>
      <c r="F229" s="9"/>
      <c r="G229" s="9"/>
      <c r="H229" s="12"/>
      <c r="I229" s="9"/>
    </row>
    <row r="230" spans="1:9" x14ac:dyDescent="0.2">
      <c r="A230" s="10"/>
      <c r="B230" s="11"/>
      <c r="C230" s="9"/>
      <c r="D230" s="9"/>
      <c r="E230" s="9"/>
      <c r="F230" s="9"/>
      <c r="G230" s="9"/>
      <c r="H230" s="12"/>
      <c r="I230" s="9"/>
    </row>
    <row r="231" spans="1:9" x14ac:dyDescent="0.2">
      <c r="A231" s="10"/>
      <c r="B231" s="11"/>
      <c r="C231" s="9"/>
      <c r="D231" s="9"/>
      <c r="E231" s="9"/>
      <c r="F231" s="9"/>
      <c r="G231" s="9"/>
      <c r="H231" s="12"/>
      <c r="I231" s="9"/>
    </row>
    <row r="232" spans="1:9" x14ac:dyDescent="0.2">
      <c r="A232" s="10"/>
      <c r="B232" s="11"/>
      <c r="C232" s="9"/>
      <c r="D232" s="9"/>
      <c r="E232" s="9"/>
      <c r="F232" s="9"/>
      <c r="G232" s="9"/>
      <c r="H232" s="12"/>
      <c r="I232" s="9"/>
    </row>
    <row r="233" spans="1:9" x14ac:dyDescent="0.2">
      <c r="A233" s="10"/>
      <c r="B233" s="11"/>
      <c r="C233" s="9"/>
      <c r="D233" s="9"/>
      <c r="E233" s="9"/>
      <c r="F233" s="9"/>
      <c r="G233" s="9"/>
      <c r="H233" s="12"/>
      <c r="I233" s="9"/>
    </row>
    <row r="234" spans="1:9" x14ac:dyDescent="0.2">
      <c r="A234" s="10"/>
      <c r="B234" s="11"/>
      <c r="C234" s="9"/>
      <c r="D234" s="9"/>
      <c r="E234" s="9"/>
      <c r="F234" s="9"/>
      <c r="G234" s="9"/>
      <c r="H234" s="12"/>
      <c r="I234" s="9"/>
    </row>
    <row r="235" spans="1:9" x14ac:dyDescent="0.2">
      <c r="A235" s="10"/>
      <c r="B235" s="11"/>
      <c r="C235" s="9"/>
      <c r="D235" s="9"/>
      <c r="E235" s="9"/>
      <c r="F235" s="9"/>
      <c r="G235" s="9"/>
      <c r="H235" s="12"/>
      <c r="I235" s="9"/>
    </row>
    <row r="236" spans="1:9" x14ac:dyDescent="0.2">
      <c r="A236" s="10"/>
      <c r="B236" s="11"/>
      <c r="C236" s="9"/>
      <c r="D236" s="9"/>
      <c r="E236" s="9"/>
      <c r="F236" s="9"/>
      <c r="G236" s="9"/>
      <c r="H236" s="12"/>
      <c r="I236" s="9"/>
    </row>
    <row r="237" spans="1:9" x14ac:dyDescent="0.2">
      <c r="A237" s="10"/>
      <c r="B237" s="11"/>
      <c r="C237" s="9"/>
      <c r="D237" s="9"/>
      <c r="E237" s="9"/>
      <c r="F237" s="9"/>
      <c r="G237" s="9"/>
      <c r="H237" s="12"/>
      <c r="I237" s="9"/>
    </row>
    <row r="238" spans="1:9" x14ac:dyDescent="0.2">
      <c r="A238" s="10"/>
      <c r="B238" s="11"/>
      <c r="C238" s="9"/>
      <c r="D238" s="9"/>
      <c r="E238" s="9"/>
      <c r="F238" s="9"/>
      <c r="G238" s="9"/>
      <c r="H238" s="12"/>
      <c r="I23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2F4C-B7BC-B64E-91B8-EBD3B4998B93}">
  <dimension ref="A1:H8"/>
  <sheetViews>
    <sheetView zoomScale="200" workbookViewId="0">
      <selection activeCell="B5" sqref="B5"/>
    </sheetView>
  </sheetViews>
  <sheetFormatPr baseColWidth="10" defaultRowHeight="16" x14ac:dyDescent="0.2"/>
  <cols>
    <col min="6" max="6" width="23" bestFit="1" customWidth="1"/>
  </cols>
  <sheetData>
    <row r="1" spans="1:8" x14ac:dyDescent="0.2">
      <c r="A1" s="8"/>
      <c r="B1" s="8" t="s">
        <v>1</v>
      </c>
      <c r="C1" s="8" t="s">
        <v>6</v>
      </c>
      <c r="D1" s="8" t="s">
        <v>2</v>
      </c>
      <c r="E1" s="8" t="s">
        <v>5</v>
      </c>
      <c r="F1" s="8" t="s">
        <v>3</v>
      </c>
      <c r="G1" s="8" t="s">
        <v>4</v>
      </c>
      <c r="H1" s="8" t="s">
        <v>10</v>
      </c>
    </row>
    <row r="2" spans="1:8" x14ac:dyDescent="0.2">
      <c r="A2" t="s">
        <v>1</v>
      </c>
      <c r="B2">
        <v>1</v>
      </c>
    </row>
    <row r="3" spans="1:8" x14ac:dyDescent="0.2">
      <c r="A3" t="s">
        <v>6</v>
      </c>
      <c r="B3">
        <v>-0.22643008585172322</v>
      </c>
      <c r="C3">
        <v>1</v>
      </c>
    </row>
    <row r="4" spans="1:8" x14ac:dyDescent="0.2">
      <c r="A4" t="s">
        <v>2</v>
      </c>
      <c r="B4">
        <v>0.10005176359629855</v>
      </c>
      <c r="C4">
        <v>-0.32171081207837038</v>
      </c>
      <c r="D4">
        <v>1</v>
      </c>
    </row>
    <row r="5" spans="1:8" x14ac:dyDescent="0.2">
      <c r="A5" t="s">
        <v>5</v>
      </c>
      <c r="B5">
        <v>-6.4535590747329896E-2</v>
      </c>
      <c r="C5">
        <v>-1.0809499429863327E-2</v>
      </c>
      <c r="D5">
        <v>0.19826607404044141</v>
      </c>
      <c r="E5">
        <v>1</v>
      </c>
    </row>
    <row r="6" spans="1:8" x14ac:dyDescent="0.2">
      <c r="A6" t="s">
        <v>3</v>
      </c>
      <c r="B6">
        <v>5.3145737431979159E-2</v>
      </c>
      <c r="C6">
        <v>0.39799750236631087</v>
      </c>
      <c r="D6">
        <v>-0.2992231176967648</v>
      </c>
      <c r="E6" s="13">
        <v>-0.83507455995011337</v>
      </c>
      <c r="F6">
        <v>1</v>
      </c>
    </row>
    <row r="7" spans="1:8" x14ac:dyDescent="0.2">
      <c r="A7" t="s">
        <v>4</v>
      </c>
      <c r="B7">
        <v>-0.25419837292023739</v>
      </c>
      <c r="C7" s="13">
        <v>0.81869551090148673</v>
      </c>
      <c r="D7">
        <v>-0.34114915944188012</v>
      </c>
      <c r="E7">
        <v>-5.3256784752478373E-2</v>
      </c>
      <c r="F7" s="13">
        <v>0.54336422156932418</v>
      </c>
      <c r="G7">
        <v>1</v>
      </c>
    </row>
    <row r="8" spans="1:8" ht="17" thickBot="1" x14ac:dyDescent="0.25">
      <c r="A8" s="7" t="s">
        <v>10</v>
      </c>
      <c r="B8" s="14">
        <v>0.92639124746151058</v>
      </c>
      <c r="C8" s="7">
        <v>-0.29509931424391822</v>
      </c>
      <c r="D8" s="7">
        <v>0.10786344005514158</v>
      </c>
      <c r="E8" s="7">
        <v>7.7004679747495952E-3</v>
      </c>
      <c r="F8" s="7">
        <v>-5.0210261574357963E-2</v>
      </c>
      <c r="G8" s="7">
        <v>-0.32050582975618519</v>
      </c>
      <c r="H8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8E36-FFCE-544B-B76B-5EC4EE45E83F}">
  <dimension ref="A1:F79"/>
  <sheetViews>
    <sheetView zoomScale="136" workbookViewId="0">
      <selection activeCell="B1" sqref="B1"/>
    </sheetView>
  </sheetViews>
  <sheetFormatPr baseColWidth="10" defaultRowHeight="16" x14ac:dyDescent="0.2"/>
  <sheetData>
    <row r="1" spans="1:6" x14ac:dyDescent="0.2">
      <c r="A1" t="s">
        <v>0</v>
      </c>
      <c r="B1" t="s">
        <v>9</v>
      </c>
      <c r="C1" t="s">
        <v>8</v>
      </c>
      <c r="E1" t="s">
        <v>0</v>
      </c>
      <c r="F1" t="s">
        <v>7</v>
      </c>
    </row>
    <row r="2" spans="1:6" x14ac:dyDescent="0.2">
      <c r="A2" s="1">
        <v>38687</v>
      </c>
      <c r="B2">
        <f t="shared" ref="B2:B15" si="0">_xlfn.XLOOKUP(A2,$E$2:$E$53,$F$2:$F$53,"")</f>
        <v>5.0999999999999996</v>
      </c>
      <c r="C2">
        <f>_xlfn.XLOOKUP(A2,$E$2:$E$53,$F$2:$F$53,"")</f>
        <v>5.0999999999999996</v>
      </c>
      <c r="E2" s="1">
        <v>38687</v>
      </c>
      <c r="F2">
        <v>5.0999999999999996</v>
      </c>
    </row>
    <row r="3" spans="1:6" x14ac:dyDescent="0.2">
      <c r="A3" s="1">
        <f>EDATE(A2,1)</f>
        <v>38718</v>
      </c>
      <c r="B3">
        <f t="shared" si="0"/>
        <v>5.15</v>
      </c>
      <c r="C3">
        <f t="shared" ref="C3:C62" si="1">_xlfn.XLOOKUP(A3,$E$2:$E$53,$F$2:$F$53,"")</f>
        <v>5.15</v>
      </c>
      <c r="E3" s="1">
        <v>38718</v>
      </c>
      <c r="F3">
        <v>5.15</v>
      </c>
    </row>
    <row r="4" spans="1:6" x14ac:dyDescent="0.2">
      <c r="A4" s="1">
        <f t="shared" ref="A4:A67" si="2">EDATE(A3,1)</f>
        <v>38749</v>
      </c>
      <c r="B4">
        <f t="shared" si="0"/>
        <v>5</v>
      </c>
      <c r="C4">
        <f t="shared" si="1"/>
        <v>5</v>
      </c>
      <c r="E4" s="1">
        <v>38749</v>
      </c>
      <c r="F4">
        <v>5</v>
      </c>
    </row>
    <row r="5" spans="1:6" x14ac:dyDescent="0.2">
      <c r="A5" s="1">
        <f t="shared" si="2"/>
        <v>38777</v>
      </c>
      <c r="B5">
        <f t="shared" si="0"/>
        <v>4.6500000000000004</v>
      </c>
      <c r="C5">
        <f t="shared" si="1"/>
        <v>4.6500000000000004</v>
      </c>
      <c r="E5" s="1">
        <v>38749</v>
      </c>
      <c r="F5">
        <v>5</v>
      </c>
    </row>
    <row r="6" spans="1:6" x14ac:dyDescent="0.2">
      <c r="A6" s="1">
        <f t="shared" si="2"/>
        <v>38808</v>
      </c>
      <c r="B6">
        <f t="shared" si="0"/>
        <v>4</v>
      </c>
      <c r="C6">
        <f t="shared" si="1"/>
        <v>4</v>
      </c>
      <c r="E6" s="1">
        <v>38777</v>
      </c>
      <c r="F6">
        <v>4.6500000000000004</v>
      </c>
    </row>
    <row r="7" spans="1:6" x14ac:dyDescent="0.2">
      <c r="A7" s="1">
        <f t="shared" si="2"/>
        <v>38838</v>
      </c>
      <c r="B7">
        <f t="shared" si="0"/>
        <v>4.25</v>
      </c>
      <c r="C7">
        <f t="shared" si="1"/>
        <v>4.25</v>
      </c>
      <c r="E7" s="1">
        <v>38808</v>
      </c>
      <c r="F7">
        <v>4</v>
      </c>
    </row>
    <row r="8" spans="1:6" x14ac:dyDescent="0.2">
      <c r="A8" s="1">
        <f t="shared" si="2"/>
        <v>38869</v>
      </c>
      <c r="B8">
        <f t="shared" si="0"/>
        <v>4.55</v>
      </c>
      <c r="C8">
        <f t="shared" si="1"/>
        <v>4.55</v>
      </c>
      <c r="E8" s="1">
        <v>38838</v>
      </c>
      <c r="F8">
        <v>4.25</v>
      </c>
    </row>
    <row r="9" spans="1:6" x14ac:dyDescent="0.2">
      <c r="A9" s="1">
        <f t="shared" si="2"/>
        <v>38899</v>
      </c>
      <c r="B9">
        <f t="shared" si="0"/>
        <v>4.5</v>
      </c>
      <c r="C9">
        <f t="shared" si="1"/>
        <v>4.5</v>
      </c>
      <c r="E9" s="1">
        <v>38869</v>
      </c>
      <c r="F9">
        <v>4.55</v>
      </c>
    </row>
    <row r="10" spans="1:6" x14ac:dyDescent="0.2">
      <c r="A10" s="1">
        <f t="shared" si="2"/>
        <v>38930</v>
      </c>
      <c r="B10">
        <f t="shared" si="0"/>
        <v>4.6399999999999997</v>
      </c>
      <c r="C10">
        <f t="shared" si="1"/>
        <v>4.6399999999999997</v>
      </c>
      <c r="E10" s="1">
        <v>38899</v>
      </c>
      <c r="F10">
        <v>4.5</v>
      </c>
    </row>
    <row r="11" spans="1:6" x14ac:dyDescent="0.2">
      <c r="A11" s="1">
        <f t="shared" si="2"/>
        <v>38961</v>
      </c>
      <c r="B11">
        <f t="shared" si="0"/>
        <v>4.53</v>
      </c>
      <c r="C11">
        <f t="shared" si="1"/>
        <v>4.53</v>
      </c>
      <c r="E11" s="1">
        <v>38930</v>
      </c>
      <c r="F11">
        <v>4.6399999999999997</v>
      </c>
    </row>
    <row r="12" spans="1:6" x14ac:dyDescent="0.2">
      <c r="A12" s="1">
        <f t="shared" si="2"/>
        <v>38991</v>
      </c>
      <c r="B12">
        <f t="shared" si="0"/>
        <v>4.5</v>
      </c>
      <c r="C12">
        <f t="shared" si="1"/>
        <v>4.5</v>
      </c>
      <c r="E12" s="1">
        <v>38961</v>
      </c>
      <c r="F12">
        <v>4.53</v>
      </c>
    </row>
    <row r="13" spans="1:6" x14ac:dyDescent="0.2">
      <c r="A13" s="1">
        <f t="shared" si="2"/>
        <v>39022</v>
      </c>
      <c r="B13">
        <f t="shared" si="0"/>
        <v>4.4400000000000004</v>
      </c>
      <c r="C13">
        <f t="shared" si="1"/>
        <v>4.4400000000000004</v>
      </c>
      <c r="E13" s="1">
        <v>38991</v>
      </c>
      <c r="F13">
        <v>4.5</v>
      </c>
    </row>
    <row r="14" spans="1:6" x14ac:dyDescent="0.2">
      <c r="A14" s="1">
        <f t="shared" si="2"/>
        <v>39052</v>
      </c>
      <c r="B14">
        <f t="shared" si="0"/>
        <v>4.7</v>
      </c>
      <c r="C14">
        <f t="shared" si="1"/>
        <v>4.7</v>
      </c>
      <c r="E14" s="1">
        <v>39022</v>
      </c>
      <c r="F14">
        <v>4.4400000000000004</v>
      </c>
    </row>
    <row r="15" spans="1:6" x14ac:dyDescent="0.2">
      <c r="A15" s="1">
        <f t="shared" si="2"/>
        <v>39083</v>
      </c>
      <c r="B15">
        <f t="shared" si="0"/>
        <v>4.8499999999999996</v>
      </c>
      <c r="C15">
        <f t="shared" si="1"/>
        <v>4.8499999999999996</v>
      </c>
      <c r="E15" s="1">
        <v>39052</v>
      </c>
      <c r="F15">
        <v>4.7</v>
      </c>
    </row>
    <row r="16" spans="1:6" x14ac:dyDescent="0.2">
      <c r="A16" s="5">
        <f t="shared" si="2"/>
        <v>39114</v>
      </c>
      <c r="B16" s="4">
        <f>_xlfn.XLOOKUP(A16,$E$2:$E$53,$F$2:$F$53,_xlfn.FORECAST.LINEAR(A16,B11:B15,A11:A15))</f>
        <v>5.65</v>
      </c>
      <c r="C16">
        <f t="shared" si="1"/>
        <v>5.65</v>
      </c>
      <c r="E16" s="1">
        <v>39083</v>
      </c>
      <c r="F16">
        <v>4.8499999999999996</v>
      </c>
    </row>
    <row r="17" spans="1:6" x14ac:dyDescent="0.2">
      <c r="A17" s="1">
        <f t="shared" si="2"/>
        <v>39142</v>
      </c>
      <c r="B17" s="4">
        <f t="shared" ref="B17:B62" si="3">_xlfn.XLOOKUP(A17,$E$2:$E$53,$F$2:$F$53,_xlfn.FORECAST.LINEAR(A17,B12:B16,A12:A16))</f>
        <v>6.3</v>
      </c>
      <c r="C17">
        <f t="shared" si="1"/>
        <v>6.3</v>
      </c>
      <c r="E17" s="1">
        <v>39114</v>
      </c>
      <c r="F17">
        <v>5.65</v>
      </c>
    </row>
    <row r="18" spans="1:6" x14ac:dyDescent="0.2">
      <c r="A18" s="1">
        <f t="shared" si="2"/>
        <v>39173</v>
      </c>
      <c r="B18" s="4">
        <f t="shared" si="3"/>
        <v>5.7</v>
      </c>
      <c r="C18">
        <f t="shared" si="1"/>
        <v>5.7</v>
      </c>
      <c r="E18" s="1">
        <v>39142</v>
      </c>
      <c r="F18">
        <v>6.3</v>
      </c>
    </row>
    <row r="19" spans="1:6" x14ac:dyDescent="0.2">
      <c r="A19" s="1">
        <f t="shared" si="2"/>
        <v>39203</v>
      </c>
      <c r="B19" s="4">
        <f t="shared" si="3"/>
        <v>6</v>
      </c>
      <c r="C19">
        <f t="shared" si="1"/>
        <v>6</v>
      </c>
      <c r="E19" s="1">
        <v>39173</v>
      </c>
      <c r="F19">
        <v>5.7</v>
      </c>
    </row>
    <row r="20" spans="1:6" x14ac:dyDescent="0.2">
      <c r="A20" s="1">
        <f t="shared" si="2"/>
        <v>39234</v>
      </c>
      <c r="B20" s="4">
        <f t="shared" si="3"/>
        <v>6.5</v>
      </c>
      <c r="C20">
        <f t="shared" si="1"/>
        <v>6.5</v>
      </c>
      <c r="E20" s="1">
        <v>39203</v>
      </c>
      <c r="F20">
        <v>6</v>
      </c>
    </row>
    <row r="21" spans="1:6" x14ac:dyDescent="0.2">
      <c r="A21" s="1">
        <f t="shared" si="2"/>
        <v>39264</v>
      </c>
      <c r="B21" s="4">
        <f t="shared" si="3"/>
        <v>6.35</v>
      </c>
      <c r="C21">
        <f t="shared" si="1"/>
        <v>6.35</v>
      </c>
      <c r="E21" s="1">
        <v>39234</v>
      </c>
      <c r="F21">
        <v>6.5</v>
      </c>
    </row>
    <row r="22" spans="1:6" x14ac:dyDescent="0.2">
      <c r="A22" s="1">
        <f t="shared" si="2"/>
        <v>39295</v>
      </c>
      <c r="B22" s="4">
        <f t="shared" si="3"/>
        <v>11</v>
      </c>
      <c r="C22">
        <f t="shared" si="1"/>
        <v>11</v>
      </c>
      <c r="E22" s="1">
        <v>39264</v>
      </c>
      <c r="F22">
        <v>6.35</v>
      </c>
    </row>
    <row r="23" spans="1:6" x14ac:dyDescent="0.2">
      <c r="A23" s="1">
        <f t="shared" si="2"/>
        <v>39326</v>
      </c>
      <c r="B23" s="4">
        <f t="shared" si="3"/>
        <v>9</v>
      </c>
      <c r="C23">
        <f t="shared" si="1"/>
        <v>9</v>
      </c>
      <c r="E23" s="1">
        <v>39295</v>
      </c>
      <c r="F23">
        <v>11</v>
      </c>
    </row>
    <row r="24" spans="1:6" x14ac:dyDescent="0.2">
      <c r="A24" s="1">
        <f t="shared" si="2"/>
        <v>39356</v>
      </c>
      <c r="B24" s="4">
        <f t="shared" si="3"/>
        <v>10.55</v>
      </c>
      <c r="C24">
        <f t="shared" si="1"/>
        <v>10.55</v>
      </c>
      <c r="E24" s="1">
        <v>39326</v>
      </c>
      <c r="F24">
        <v>9</v>
      </c>
    </row>
    <row r="25" spans="1:6" x14ac:dyDescent="0.2">
      <c r="A25" s="1">
        <f t="shared" si="2"/>
        <v>39387</v>
      </c>
      <c r="B25" s="4">
        <f t="shared" si="3"/>
        <v>12</v>
      </c>
      <c r="C25">
        <f t="shared" si="1"/>
        <v>12</v>
      </c>
      <c r="E25" s="1">
        <v>39356</v>
      </c>
      <c r="F25">
        <v>10.55</v>
      </c>
    </row>
    <row r="26" spans="1:6" x14ac:dyDescent="0.2">
      <c r="A26" s="1">
        <f t="shared" si="2"/>
        <v>39417</v>
      </c>
      <c r="B26" s="4">
        <f t="shared" si="3"/>
        <v>14</v>
      </c>
      <c r="C26">
        <f t="shared" si="1"/>
        <v>14</v>
      </c>
      <c r="E26" s="1">
        <v>39387</v>
      </c>
      <c r="F26">
        <v>12</v>
      </c>
    </row>
    <row r="27" spans="1:6" x14ac:dyDescent="0.2">
      <c r="A27" s="1">
        <f t="shared" si="2"/>
        <v>39448</v>
      </c>
      <c r="B27" s="4">
        <f t="shared" si="3"/>
        <v>14.010772025626693</v>
      </c>
      <c r="C27" t="str">
        <f t="shared" si="1"/>
        <v/>
      </c>
      <c r="E27" s="1">
        <v>39417</v>
      </c>
      <c r="F27">
        <v>14</v>
      </c>
    </row>
    <row r="28" spans="1:6" x14ac:dyDescent="0.2">
      <c r="A28" s="1">
        <f t="shared" si="2"/>
        <v>39479</v>
      </c>
      <c r="B28" s="4">
        <f t="shared" si="3"/>
        <v>15.98080843000821</v>
      </c>
      <c r="C28" t="str">
        <f t="shared" si="1"/>
        <v/>
      </c>
      <c r="E28" s="1">
        <v>39508</v>
      </c>
      <c r="F28">
        <v>13.9</v>
      </c>
    </row>
    <row r="29" spans="1:6" x14ac:dyDescent="0.2">
      <c r="A29" s="1">
        <f t="shared" si="2"/>
        <v>39508</v>
      </c>
      <c r="B29" s="4">
        <f t="shared" si="3"/>
        <v>13.9</v>
      </c>
      <c r="C29">
        <f t="shared" si="1"/>
        <v>13.9</v>
      </c>
      <c r="E29" s="1">
        <v>39600</v>
      </c>
      <c r="F29">
        <v>18</v>
      </c>
    </row>
    <row r="30" spans="1:6" x14ac:dyDescent="0.2">
      <c r="A30" s="1">
        <f t="shared" si="2"/>
        <v>39539</v>
      </c>
      <c r="B30" s="4">
        <f t="shared" si="3"/>
        <v>15.728582679263695</v>
      </c>
      <c r="C30" t="str">
        <f t="shared" si="1"/>
        <v/>
      </c>
      <c r="E30" s="1">
        <v>39692</v>
      </c>
      <c r="F30">
        <v>17</v>
      </c>
    </row>
    <row r="31" spans="1:6" x14ac:dyDescent="0.2">
      <c r="A31" s="1">
        <f t="shared" si="2"/>
        <v>39569</v>
      </c>
      <c r="B31" s="4">
        <f t="shared" si="3"/>
        <v>15.739595658638336</v>
      </c>
      <c r="C31" t="str">
        <f t="shared" si="1"/>
        <v/>
      </c>
      <c r="E31" s="1">
        <v>39722</v>
      </c>
      <c r="F31">
        <v>16</v>
      </c>
    </row>
    <row r="32" spans="1:6" x14ac:dyDescent="0.2">
      <c r="A32" s="1">
        <f t="shared" si="2"/>
        <v>39600</v>
      </c>
      <c r="B32" s="4">
        <f t="shared" si="3"/>
        <v>18</v>
      </c>
      <c r="C32">
        <f t="shared" si="1"/>
        <v>18</v>
      </c>
      <c r="E32" s="1">
        <v>39753</v>
      </c>
      <c r="F32">
        <v>14.54</v>
      </c>
    </row>
    <row r="33" spans="1:6" x14ac:dyDescent="0.2">
      <c r="A33" s="1">
        <f t="shared" si="2"/>
        <v>39630</v>
      </c>
      <c r="B33" s="4">
        <f t="shared" si="3"/>
        <v>17.658076826489605</v>
      </c>
      <c r="C33" t="str">
        <f t="shared" si="1"/>
        <v/>
      </c>
      <c r="E33" s="1">
        <v>39783</v>
      </c>
      <c r="F33">
        <v>12.79</v>
      </c>
    </row>
    <row r="34" spans="1:6" x14ac:dyDescent="0.2">
      <c r="A34" s="1">
        <f t="shared" si="2"/>
        <v>39661</v>
      </c>
      <c r="B34" s="4">
        <f t="shared" si="3"/>
        <v>19.157557851198362</v>
      </c>
      <c r="C34" t="str">
        <f t="shared" si="1"/>
        <v/>
      </c>
      <c r="E34" s="1">
        <v>39873</v>
      </c>
      <c r="F34">
        <v>9.49</v>
      </c>
    </row>
    <row r="35" spans="1:6" x14ac:dyDescent="0.2">
      <c r="A35" s="1">
        <f t="shared" si="2"/>
        <v>39692</v>
      </c>
      <c r="B35" s="4">
        <f t="shared" si="3"/>
        <v>17</v>
      </c>
      <c r="C35">
        <f t="shared" si="1"/>
        <v>17</v>
      </c>
      <c r="E35" s="1">
        <v>39965</v>
      </c>
      <c r="F35">
        <v>6</v>
      </c>
    </row>
    <row r="36" spans="1:6" x14ac:dyDescent="0.2">
      <c r="A36" s="1">
        <f t="shared" si="2"/>
        <v>39722</v>
      </c>
      <c r="B36" s="4">
        <f t="shared" si="3"/>
        <v>16</v>
      </c>
      <c r="C36">
        <f t="shared" si="1"/>
        <v>16</v>
      </c>
      <c r="E36" s="1">
        <v>40057</v>
      </c>
      <c r="F36">
        <v>3</v>
      </c>
    </row>
    <row r="37" spans="1:6" x14ac:dyDescent="0.2">
      <c r="A37" s="1">
        <f t="shared" si="2"/>
        <v>39753</v>
      </c>
      <c r="B37" s="4">
        <f t="shared" si="3"/>
        <v>14.54</v>
      </c>
      <c r="C37">
        <f t="shared" si="1"/>
        <v>14.54</v>
      </c>
      <c r="E37" s="1">
        <v>40087</v>
      </c>
      <c r="F37">
        <v>4</v>
      </c>
    </row>
    <row r="38" spans="1:6" x14ac:dyDescent="0.2">
      <c r="A38" s="1">
        <f t="shared" si="2"/>
        <v>39783</v>
      </c>
      <c r="B38" s="4">
        <f t="shared" si="3"/>
        <v>12.79</v>
      </c>
      <c r="C38">
        <f t="shared" si="1"/>
        <v>12.79</v>
      </c>
      <c r="E38" s="1">
        <v>40118</v>
      </c>
      <c r="F38">
        <v>3.57</v>
      </c>
    </row>
    <row r="39" spans="1:6" x14ac:dyDescent="0.2">
      <c r="A39" s="1">
        <f t="shared" si="2"/>
        <v>39814</v>
      </c>
      <c r="B39" s="4">
        <f t="shared" si="3"/>
        <v>11.32292004754845</v>
      </c>
      <c r="C39" t="str">
        <f t="shared" si="1"/>
        <v/>
      </c>
      <c r="E39" s="1">
        <v>40148</v>
      </c>
      <c r="F39">
        <v>2.5</v>
      </c>
    </row>
    <row r="40" spans="1:6" x14ac:dyDescent="0.2">
      <c r="A40" s="1">
        <f t="shared" si="2"/>
        <v>39845</v>
      </c>
      <c r="B40" s="4">
        <f t="shared" si="3"/>
        <v>9.9274136497363088</v>
      </c>
      <c r="C40" t="str">
        <f t="shared" si="1"/>
        <v/>
      </c>
      <c r="E40" s="1">
        <v>40238</v>
      </c>
      <c r="F40">
        <v>2.85</v>
      </c>
    </row>
    <row r="41" spans="1:6" x14ac:dyDescent="0.2">
      <c r="A41" s="1">
        <f t="shared" si="2"/>
        <v>39873</v>
      </c>
      <c r="B41" s="4">
        <f t="shared" si="3"/>
        <v>9.49</v>
      </c>
      <c r="C41">
        <f t="shared" si="1"/>
        <v>9.49</v>
      </c>
      <c r="E41" s="1">
        <v>40330</v>
      </c>
      <c r="F41">
        <v>2.5</v>
      </c>
    </row>
    <row r="42" spans="1:6" x14ac:dyDescent="0.2">
      <c r="A42" s="1">
        <f t="shared" si="2"/>
        <v>39904</v>
      </c>
      <c r="B42" s="4">
        <f t="shared" si="3"/>
        <v>7.724444597940419</v>
      </c>
      <c r="C42" t="str">
        <f t="shared" si="1"/>
        <v/>
      </c>
      <c r="E42" s="1">
        <v>40422</v>
      </c>
      <c r="F42">
        <v>3.65</v>
      </c>
    </row>
    <row r="43" spans="1:6" x14ac:dyDescent="0.2">
      <c r="A43" s="1">
        <f t="shared" si="2"/>
        <v>39934</v>
      </c>
      <c r="B43" s="4">
        <f t="shared" si="3"/>
        <v>6.6577797561276384</v>
      </c>
      <c r="C43" t="str">
        <f t="shared" si="1"/>
        <v/>
      </c>
      <c r="E43" s="1">
        <v>40452</v>
      </c>
      <c r="F43">
        <v>3.95</v>
      </c>
    </row>
    <row r="44" spans="1:6" x14ac:dyDescent="0.2">
      <c r="A44" s="1">
        <f t="shared" si="2"/>
        <v>39965</v>
      </c>
      <c r="B44" s="4">
        <f t="shared" si="3"/>
        <v>6</v>
      </c>
      <c r="C44">
        <f t="shared" si="1"/>
        <v>6</v>
      </c>
      <c r="E44" s="1">
        <v>40483</v>
      </c>
      <c r="F44">
        <v>5</v>
      </c>
    </row>
    <row r="45" spans="1:6" x14ac:dyDescent="0.2">
      <c r="A45" s="1">
        <f t="shared" si="2"/>
        <v>39995</v>
      </c>
      <c r="B45" s="4">
        <f t="shared" si="3"/>
        <v>4.7324745206062744</v>
      </c>
      <c r="C45" t="str">
        <f t="shared" si="1"/>
        <v/>
      </c>
      <c r="E45" s="1">
        <v>40513</v>
      </c>
      <c r="F45">
        <v>5.5</v>
      </c>
    </row>
    <row r="46" spans="1:6" x14ac:dyDescent="0.2">
      <c r="A46" s="1">
        <f t="shared" si="2"/>
        <v>40026</v>
      </c>
      <c r="B46" s="4">
        <f t="shared" si="3"/>
        <v>3.5375655356112929</v>
      </c>
      <c r="C46" t="str">
        <f t="shared" si="1"/>
        <v/>
      </c>
      <c r="E46" s="1">
        <v>40603</v>
      </c>
      <c r="F46">
        <v>10</v>
      </c>
    </row>
    <row r="47" spans="1:6" x14ac:dyDescent="0.2">
      <c r="A47" s="1">
        <f t="shared" si="2"/>
        <v>40057</v>
      </c>
      <c r="B47" s="4">
        <f t="shared" si="3"/>
        <v>3</v>
      </c>
      <c r="C47">
        <f t="shared" si="1"/>
        <v>3</v>
      </c>
      <c r="E47" s="1">
        <v>40695</v>
      </c>
      <c r="F47">
        <v>7</v>
      </c>
    </row>
    <row r="48" spans="1:6" x14ac:dyDescent="0.2">
      <c r="A48" s="1">
        <f t="shared" si="2"/>
        <v>40087</v>
      </c>
      <c r="B48" s="4">
        <f t="shared" si="3"/>
        <v>4</v>
      </c>
      <c r="C48">
        <f t="shared" si="1"/>
        <v>4</v>
      </c>
      <c r="E48" s="1">
        <v>40725</v>
      </c>
      <c r="F48">
        <v>8.6</v>
      </c>
    </row>
    <row r="49" spans="1:6" x14ac:dyDescent="0.2">
      <c r="A49" s="1">
        <f t="shared" si="2"/>
        <v>40118</v>
      </c>
      <c r="B49" s="4">
        <f t="shared" si="3"/>
        <v>3.57</v>
      </c>
      <c r="C49">
        <f t="shared" si="1"/>
        <v>3.57</v>
      </c>
      <c r="E49" s="1">
        <v>40756</v>
      </c>
      <c r="F49">
        <v>7.67</v>
      </c>
    </row>
    <row r="50" spans="1:6" x14ac:dyDescent="0.2">
      <c r="A50" s="1">
        <f t="shared" si="2"/>
        <v>40148</v>
      </c>
      <c r="B50" s="4">
        <f t="shared" si="3"/>
        <v>2.5</v>
      </c>
      <c r="C50">
        <f t="shared" si="1"/>
        <v>2.5</v>
      </c>
      <c r="E50" s="1">
        <v>40787</v>
      </c>
      <c r="F50">
        <v>9</v>
      </c>
    </row>
    <row r="51" spans="1:6" x14ac:dyDescent="0.2">
      <c r="A51" s="1">
        <f t="shared" si="2"/>
        <v>40179</v>
      </c>
      <c r="B51" s="4">
        <f t="shared" si="3"/>
        <v>2.8681476268851327</v>
      </c>
      <c r="C51" t="str">
        <f t="shared" si="1"/>
        <v/>
      </c>
      <c r="E51" s="1">
        <v>40817</v>
      </c>
      <c r="F51">
        <v>7</v>
      </c>
    </row>
    <row r="52" spans="1:6" x14ac:dyDescent="0.2">
      <c r="A52" s="1">
        <f t="shared" si="2"/>
        <v>40210</v>
      </c>
      <c r="B52" s="4">
        <f t="shared" si="3"/>
        <v>2.653869294625764</v>
      </c>
      <c r="C52" t="str">
        <f t="shared" si="1"/>
        <v/>
      </c>
      <c r="E52" s="1">
        <v>40848</v>
      </c>
      <c r="F52">
        <v>7.3</v>
      </c>
    </row>
    <row r="53" spans="1:6" x14ac:dyDescent="0.2">
      <c r="A53" s="1">
        <f t="shared" si="2"/>
        <v>40238</v>
      </c>
      <c r="B53" s="4">
        <f t="shared" si="3"/>
        <v>2.85</v>
      </c>
      <c r="C53">
        <f t="shared" si="1"/>
        <v>2.85</v>
      </c>
      <c r="E53" s="1">
        <v>40878</v>
      </c>
      <c r="F53">
        <v>7.53</v>
      </c>
    </row>
    <row r="54" spans="1:6" x14ac:dyDescent="0.2">
      <c r="A54" s="1">
        <f t="shared" si="2"/>
        <v>40269</v>
      </c>
      <c r="B54" s="4">
        <f t="shared" si="3"/>
        <v>2.5012342597779877</v>
      </c>
      <c r="C54" t="str">
        <f t="shared" si="1"/>
        <v/>
      </c>
    </row>
    <row r="55" spans="1:6" x14ac:dyDescent="0.2">
      <c r="A55" s="1">
        <f t="shared" si="2"/>
        <v>40299</v>
      </c>
      <c r="B55" s="4">
        <f t="shared" si="3"/>
        <v>2.6697549276614265</v>
      </c>
      <c r="C55" t="str">
        <f t="shared" si="1"/>
        <v/>
      </c>
    </row>
    <row r="56" spans="1:6" x14ac:dyDescent="0.2">
      <c r="A56" s="1">
        <f t="shared" si="2"/>
        <v>40330</v>
      </c>
      <c r="B56" s="4">
        <f t="shared" si="3"/>
        <v>2.5</v>
      </c>
      <c r="C56">
        <f t="shared" si="1"/>
        <v>2.5</v>
      </c>
    </row>
    <row r="57" spans="1:6" x14ac:dyDescent="0.2">
      <c r="A57" s="1">
        <f t="shared" si="2"/>
        <v>40360</v>
      </c>
      <c r="B57" s="4">
        <f t="shared" si="3"/>
        <v>2.4849814514276289</v>
      </c>
      <c r="C57" t="str">
        <f t="shared" si="1"/>
        <v/>
      </c>
    </row>
    <row r="58" spans="1:6" x14ac:dyDescent="0.2">
      <c r="A58" s="1">
        <f t="shared" si="2"/>
        <v>40391</v>
      </c>
      <c r="B58" s="4">
        <f t="shared" si="3"/>
        <v>2.3801080417935196</v>
      </c>
      <c r="C58" t="str">
        <f t="shared" si="1"/>
        <v/>
      </c>
    </row>
    <row r="59" spans="1:6" x14ac:dyDescent="0.2">
      <c r="A59" s="1">
        <f t="shared" si="2"/>
        <v>40422</v>
      </c>
      <c r="B59" s="4">
        <f t="shared" si="3"/>
        <v>3.65</v>
      </c>
      <c r="C59">
        <f t="shared" si="1"/>
        <v>3.65</v>
      </c>
    </row>
    <row r="60" spans="1:6" x14ac:dyDescent="0.2">
      <c r="A60" s="1">
        <f t="shared" si="2"/>
        <v>40452</v>
      </c>
      <c r="B60" s="4">
        <f t="shared" si="3"/>
        <v>3.95</v>
      </c>
      <c r="C60">
        <f t="shared" si="1"/>
        <v>3.95</v>
      </c>
    </row>
    <row r="61" spans="1:6" x14ac:dyDescent="0.2">
      <c r="A61" s="1">
        <f t="shared" si="2"/>
        <v>40483</v>
      </c>
      <c r="B61" s="4">
        <f t="shared" si="3"/>
        <v>5</v>
      </c>
      <c r="C61">
        <f t="shared" si="1"/>
        <v>5</v>
      </c>
    </row>
    <row r="62" spans="1:6" x14ac:dyDescent="0.2">
      <c r="A62" s="1">
        <f t="shared" si="2"/>
        <v>40513</v>
      </c>
      <c r="B62" s="4">
        <f t="shared" si="3"/>
        <v>5.5</v>
      </c>
      <c r="C62">
        <f t="shared" si="1"/>
        <v>5.5</v>
      </c>
    </row>
    <row r="63" spans="1:6" x14ac:dyDescent="0.2">
      <c r="A63" s="1">
        <f t="shared" si="2"/>
        <v>40544</v>
      </c>
      <c r="B63" s="4">
        <f t="shared" ref="B63:B68" si="4">_xlfn.XLOOKUP(A63,$E$2:$E$53,$F$2:$F$53,_xlfn.FORECAST.LINEAR(A63,B58:B62,A58:A62))</f>
        <v>6.3826080343721969</v>
      </c>
      <c r="C63" t="str">
        <f t="shared" ref="C63:C68" si="5">_xlfn.XLOOKUP(A63,$E$2:$E$53,$F$2:$F$53,"")</f>
        <v/>
      </c>
    </row>
    <row r="64" spans="1:6" x14ac:dyDescent="0.2">
      <c r="A64" s="1">
        <f t="shared" si="2"/>
        <v>40575</v>
      </c>
      <c r="B64" s="4">
        <f t="shared" si="4"/>
        <v>7.0188184851335791</v>
      </c>
      <c r="C64" t="str">
        <f t="shared" si="5"/>
        <v/>
      </c>
    </row>
    <row r="65" spans="1:3" x14ac:dyDescent="0.2">
      <c r="A65" s="1">
        <f t="shared" si="2"/>
        <v>40603</v>
      </c>
      <c r="B65" s="4">
        <f t="shared" si="4"/>
        <v>10</v>
      </c>
      <c r="C65">
        <f t="shared" si="5"/>
        <v>10</v>
      </c>
    </row>
    <row r="66" spans="1:3" x14ac:dyDescent="0.2">
      <c r="A66" s="1">
        <f t="shared" si="2"/>
        <v>40634</v>
      </c>
      <c r="B66" s="4">
        <f t="shared" si="4"/>
        <v>10.205203370553591</v>
      </c>
      <c r="C66" t="str">
        <f t="shared" si="5"/>
        <v/>
      </c>
    </row>
    <row r="67" spans="1:3" x14ac:dyDescent="0.2">
      <c r="A67" s="1">
        <f t="shared" si="2"/>
        <v>40664</v>
      </c>
      <c r="B67" s="4">
        <f t="shared" si="4"/>
        <v>11.704640663429018</v>
      </c>
      <c r="C67" t="str">
        <f t="shared" si="5"/>
        <v/>
      </c>
    </row>
    <row r="68" spans="1:3" x14ac:dyDescent="0.2">
      <c r="A68" s="1">
        <f t="shared" ref="A68" si="6">EDATE(A67,1)</f>
        <v>40695</v>
      </c>
      <c r="B68" s="4">
        <f t="shared" si="4"/>
        <v>7</v>
      </c>
      <c r="C68">
        <f t="shared" si="5"/>
        <v>7</v>
      </c>
    </row>
    <row r="69" spans="1:3" x14ac:dyDescent="0.2">
      <c r="A69" s="1"/>
    </row>
    <row r="70" spans="1:3" x14ac:dyDescent="0.2">
      <c r="A70" s="1"/>
    </row>
    <row r="71" spans="1:3" x14ac:dyDescent="0.2">
      <c r="A71" s="1"/>
    </row>
    <row r="72" spans="1:3" x14ac:dyDescent="0.2">
      <c r="A72" s="1"/>
    </row>
    <row r="73" spans="1:3" x14ac:dyDescent="0.2">
      <c r="A73" s="1"/>
    </row>
    <row r="74" spans="1:3" x14ac:dyDescent="0.2">
      <c r="A74" s="1"/>
    </row>
    <row r="75" spans="1:3" x14ac:dyDescent="0.2">
      <c r="A75" s="1"/>
    </row>
    <row r="76" spans="1:3" x14ac:dyDescent="0.2">
      <c r="A76" s="1"/>
    </row>
    <row r="77" spans="1:3" x14ac:dyDescent="0.2">
      <c r="A77" s="1"/>
    </row>
    <row r="78" spans="1:3" x14ac:dyDescent="0.2">
      <c r="A78" s="1"/>
    </row>
    <row r="79" spans="1:3" x14ac:dyDescent="0.2">
      <c r="A7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Clean Full</vt:lpstr>
      <vt:lpstr>Data Cut at 22</vt:lpstr>
      <vt:lpstr>Corr. Matrix</vt:lpstr>
      <vt:lpstr>Infl. 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Riveros</dc:creator>
  <cp:lastModifiedBy>Elisabeth Riveros</cp:lastModifiedBy>
  <dcterms:created xsi:type="dcterms:W3CDTF">2025-11-02T22:33:30Z</dcterms:created>
  <dcterms:modified xsi:type="dcterms:W3CDTF">2025-11-20T21:48:48Z</dcterms:modified>
</cp:coreProperties>
</file>